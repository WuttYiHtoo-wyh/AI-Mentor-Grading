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aseline Tests" sheetId="1" state="visible" r:id="rId1"/>
    <sheet xmlns:r="http://schemas.openxmlformats.org/officeDocument/2006/relationships" name="Summary" sheetId="2" state="visible" r:id="rId2"/>
    <sheet xmlns:r="http://schemas.openxmlformats.org/officeDocument/2006/relationships" name="Rating Guide" sheetId="3" state="visible" r:id="rId3"/>
  </sheets>
  <definedNames/>
</workbook>
</file>

<file path=xl/styles.xml><?xml version="1.0" encoding="utf-8"?>
<styleSheet xmlns="http://schemas.openxmlformats.org/spreadsheetml/2006/main">
  <numFmts count="0"/>
  <fonts count="7">
    <font>
      <name val="Carlito"/>
      <sz val="11"/>
    </font>
    <font>
      <name val="Carlito"/>
      <b val="1"/>
      <color rgb="FFFFFFFF"/>
      <sz val="11"/>
    </font>
    <font>
      <name val="Carlito"/>
      <b val="1"/>
      <color rgb="FFFFFFFF"/>
      <sz val="16"/>
    </font>
    <font>
      <name val="Carlito"/>
      <b val="1"/>
      <sz val="11"/>
    </font>
    <font>
      <name val="Carlito"/>
      <b val="1"/>
      <color rgb="FFFFFFFF"/>
      <sz val="15"/>
    </font>
    <font>
      <b val="1"/>
      <sz val="14"/>
    </font>
    <font>
      <b val="1"/>
    </font>
  </fonts>
  <fills count="4">
    <fill>
      <patternFill/>
    </fill>
    <fill>
      <patternFill patternType="gray125"/>
    </fill>
    <fill>
      <patternFill patternType="solid">
        <fgColor rgb="FF1F4E78"/>
      </patternFill>
    </fill>
    <fill>
      <patternFill patternType="solid">
        <fgColor rgb="FFD9EAF7"/>
      </patternFill>
    </fill>
  </fills>
  <borders count="2">
    <border/>
    <border/>
  </borders>
  <cellStyleXfs count="1">
    <xf numFmtId="0" fontId="0" fillId="0" borderId="1"/>
  </cellStyleXfs>
  <cellXfs count="34">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2" fillId="2" borderId="0" pivotButton="0" quotePrefix="0" xfId="0"/>
    <xf numFmtId="0" fontId="2" fillId="2" borderId="0" applyAlignment="1" pivotButton="0" quotePrefix="0" xfId="0">
      <alignment horizontal="center"/>
    </xf>
    <xf numFmtId="0" fontId="2" fillId="2" borderId="1" pivotButton="0" quotePrefix="0" xfId="0"/>
    <xf numFmtId="0" fontId="2" fillId="2" borderId="1" applyAlignment="1" pivotButton="0" quotePrefix="0" xfId="0">
      <alignment horizontal="center"/>
    </xf>
    <xf numFmtId="0" fontId="0" fillId="3" borderId="0" pivotButton="0" quotePrefix="0" xfId="0"/>
    <xf numFmtId="0" fontId="3" fillId="3" borderId="0" pivotButton="0" quotePrefix="0" xfId="0"/>
    <xf numFmtId="0" fontId="0" fillId="3" borderId="1" pivotButton="0" quotePrefix="0" xfId="0"/>
    <xf numFmtId="0" fontId="3" fillId="3" borderId="1" pivotButton="0" quotePrefix="0" xfId="0"/>
    <xf numFmtId="0" fontId="2" fillId="2" borderId="0" applyAlignment="1" pivotButton="0" quotePrefix="0" xfId="0">
      <alignment horizontal="center" wrapText="1"/>
    </xf>
    <xf numFmtId="0" fontId="3" fillId="3" borderId="0" applyAlignment="1" pivotButton="0" quotePrefix="0" xfId="0">
      <alignment wrapText="1"/>
    </xf>
    <xf numFmtId="0" fontId="2" fillId="2" borderId="1" applyAlignment="1" pivotButton="0" quotePrefix="0" xfId="0">
      <alignment horizontal="center" wrapText="1"/>
    </xf>
    <xf numFmtId="0" fontId="3" fillId="3" borderId="1" applyAlignment="1" pivotButton="0" quotePrefix="0" xfId="0">
      <alignment wrapText="1"/>
    </xf>
    <xf numFmtId="0" fontId="4" fillId="2" borderId="0" pivotButton="0" quotePrefix="0" xfId="0"/>
    <xf numFmtId="0" fontId="4" fillId="2" borderId="0" applyAlignment="1" pivotButton="0" quotePrefix="0" xfId="0">
      <alignment horizontal="center"/>
    </xf>
    <xf numFmtId="0" fontId="4" fillId="2" borderId="1" pivotButton="0" quotePrefix="0" xfId="0"/>
    <xf numFmtId="0" fontId="4" fillId="2" borderId="1" applyAlignment="1" pivotButton="0" quotePrefix="0" xfId="0">
      <alignment horizontal="center"/>
    </xf>
    <xf numFmtId="0" fontId="5" fillId="2" borderId="1" applyAlignment="1" pivotButton="0" quotePrefix="0" xfId="0">
      <alignment horizontal="center" wrapText="1"/>
    </xf>
    <xf numFmtId="0" fontId="6" fillId="3" borderId="0" applyAlignment="1" pivotButton="0" quotePrefix="0" xfId="0">
      <alignment wrapText="1"/>
    </xf>
    <xf numFmtId="0" fontId="6" fillId="0" borderId="0" applyAlignment="1" pivotButton="0" quotePrefix="0" xfId="0">
      <alignment wrapText="1"/>
    </xf>
    <xf numFmtId="0" fontId="0" fillId="0" borderId="0" applyAlignment="1" pivotButton="0" quotePrefix="0" xfId="0">
      <alignment vertical="top" wrapText="1"/>
    </xf>
  </cellXfs>
  <cellStyles count="1">
    <cellStyle name="Normal" xfId="0"/>
  </cellStyles>
  <dxfs count="18">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BaselineTests" displayName="BaselineTests" ref="A1:T16" headerRowCount="1" totalsRowCount="0" totalsRowShown="0">
  <tableColumns count="20">
    <tableColumn id="1" name="Test ID"/>
    <tableColumn id="2" name="Question Type"/>
    <tableColumn id="3" name="CPL Area"/>
    <tableColumn id="4" name="Test Question"/>
    <tableColumn id="5" name="Expected Source / Topic"/>
    <tableColumn id="6" name="Mentor Mode"/>
    <tableColumn id="7" name="AI Response (paste here)"/>
    <tableColumn id="8" name="Retrieved Source 1"/>
    <tableColumn id="9" name="Retrieved Source 2"/>
    <tableColumn id="10" name="Retrieved Source 3"/>
    <tableColumn id="11" name="Retrieved Source 4"/>
    <tableColumn id="12" name="Retrieved Source 5"/>
    <tableColumn id="13" name="Correctness"/>
    <tableColumn id="14" name="Relevance"/>
    <tableColumn id="15" name="Groundedness"/>
    <tableColumn id="16" name="Usefulness"/>
    <tableColumn id="17" name="Retrieval Quality"/>
    <tableColumn id="18" name="Overall Result"/>
    <tableColumn id="19" name="Failure Category"/>
    <tableColumn id="20" name="Notes / Observ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cols>
    <col width="9" customWidth="1" min="1" max="1"/>
    <col width="22" customWidth="1" min="2" max="2"/>
    <col width="14" customWidth="1" min="3" max="3"/>
    <col width="45" customWidth="1" min="4" max="4"/>
    <col width="36" customWidth="1" min="5" max="5"/>
    <col width="16" customWidth="1" min="6" max="6"/>
    <col width="55" customWidth="1" min="7" max="7"/>
    <col width="28" customWidth="1" min="8" max="8"/>
    <col width="28" customWidth="1" min="9" max="9"/>
    <col width="28" customWidth="1" min="10" max="10"/>
    <col width="28" customWidth="1" min="11" max="11"/>
    <col width="28" customWidth="1" min="12" max="12"/>
    <col width="14" customWidth="1" min="13" max="13"/>
    <col width="14" customWidth="1" min="14" max="14"/>
    <col width="14" customWidth="1" min="15" max="15"/>
    <col width="14" customWidth="1" min="16" max="16"/>
    <col width="18" customWidth="1" min="17" max="17"/>
    <col width="15" customWidth="1" min="18" max="18"/>
    <col width="24" customWidth="1" min="19" max="19"/>
    <col width="40" customWidth="1" min="20" max="20"/>
  </cols>
  <sheetData>
    <row r="1" ht="34" customHeight="1">
      <c r="A1" s="6" t="inlineStr">
        <is>
          <t>Test ID</t>
        </is>
      </c>
      <c r="B1" s="6" t="inlineStr">
        <is>
          <t>Question Type</t>
        </is>
      </c>
      <c r="C1" s="6" t="inlineStr">
        <is>
          <t>CPL Area</t>
        </is>
      </c>
      <c r="D1" s="6" t="inlineStr">
        <is>
          <t>Test Question</t>
        </is>
      </c>
      <c r="E1" s="6" t="inlineStr">
        <is>
          <t>Expected Source / Topic</t>
        </is>
      </c>
      <c r="F1" s="6" t="inlineStr">
        <is>
          <t>Mentor Mode</t>
        </is>
      </c>
      <c r="G1" s="6" t="inlineStr">
        <is>
          <t>AI Response (paste here)</t>
        </is>
      </c>
      <c r="H1" s="6" t="inlineStr">
        <is>
          <t>Retrieved Source 1</t>
        </is>
      </c>
      <c r="I1" s="6" t="inlineStr">
        <is>
          <t>Retrieved Source 2</t>
        </is>
      </c>
      <c r="J1" s="6" t="inlineStr">
        <is>
          <t>Retrieved Source 3</t>
        </is>
      </c>
      <c r="K1" s="6" t="inlineStr">
        <is>
          <t>Retrieved Source 4</t>
        </is>
      </c>
      <c r="L1" s="6" t="inlineStr">
        <is>
          <t>Retrieved Source 5</t>
        </is>
      </c>
      <c r="M1" s="6" t="inlineStr">
        <is>
          <t>Correctness</t>
        </is>
      </c>
      <c r="N1" s="6" t="inlineStr">
        <is>
          <t>Relevance</t>
        </is>
      </c>
      <c r="O1" s="6" t="inlineStr">
        <is>
          <t>Groundedness</t>
        </is>
      </c>
      <c r="P1" s="6" t="inlineStr">
        <is>
          <t>Usefulness</t>
        </is>
      </c>
      <c r="Q1" s="6" t="inlineStr">
        <is>
          <t>Retrieval Quality</t>
        </is>
      </c>
      <c r="R1" s="6" t="inlineStr">
        <is>
          <t>Overall Result</t>
        </is>
      </c>
      <c r="S1" s="6" t="inlineStr">
        <is>
          <t>Failure Category</t>
        </is>
      </c>
      <c r="T1" s="6" t="inlineStr">
        <is>
          <t>Notes / Observation</t>
        </is>
      </c>
    </row>
    <row r="2">
      <c r="A2" s="12" t="inlineStr">
        <is>
          <t>T01</t>
        </is>
      </c>
      <c r="B2" s="12" t="inlineStr">
        <is>
          <t>Factual</t>
        </is>
      </c>
      <c r="C2" s="12" t="inlineStr">
        <is>
          <t>IU04</t>
        </is>
      </c>
      <c r="D2" s="12" t="inlineStr">
        <is>
          <t>What is a Gantt chart?</t>
        </is>
      </c>
      <c r="E2" s="12" t="inlineStr">
        <is>
          <t>IU04 – Gantt Chart</t>
        </is>
      </c>
      <c r="F2" s="12" t="inlineStr">
        <is>
          <t>Explain Topic</t>
        </is>
      </c>
      <c r="G2" s="12" t="inlineStr">
        <is>
          <t>A Gantt chart is a visual tool used to communicate a project schedule by displaying project activities against time. It shows start and finish dates, durations, overlap, dependencies, milestones, and progress. It is recommended to build the Gantt chart from the Work Breakdown Structure (WBS), show realistic timing and overlap, and update it when significant changes occur rather than creating it only for submission. For example, a Gantt chart for a 10-week research project might schedule different activities like literature review, methodology, data collection, analysis, and reporting across specific weeks.</t>
        </is>
      </c>
      <c r="H2" s="12" t="inlineStr">
        <is>
          <t>{
  "rank": 1,
  "chunk_id": "LM0405",
  "title": "Gantt Chart",
  "instructional_unit": "IU04 - Research Planning &amp; Scheduling",
  "document_type": "Learning Material",
  "source_file": "IU04_Research_Planning_and_Scheduling_RAG.docx",
  "distance": 0.7946141958236694,
  "content": "Gantt Chart Use a Gantt chart to communicate the project schedule. A Gantt chart displays project activities against time. It can show start and finish dates, durations, overlap, dependencies, milestones, and progress. The chart should reflect the WBS and be updated when significant changes occur rather than being created only for submission. A 10-week research project might schedule literature review in Weeks 1–3, methodology in Weeks 2–4, data collection in Weeks 4–6, analysis in Weeks 6–7, and reporting in Weeks 7–10. Build the Gantt chart from the WBS; show realistic timing and overlap; update it when the plan changes.",
  "metadata": {
    "version": "1.0",
    "difficulty": "Beginner",
    "audience": "Learner",
    "source_file": "IU04_Research_Planning_and_Scheduling_RAG.docx",
    "course_id": "CPL",
    "keywords": "Gantt chart, timeline, schedule, duration",
    "document_type": "Learning Material",
    "title": "Gantt Chart",
    "source": "Official Learning Material",
    "intent": "Explain / Guide",
    "instructional_unit": "IU04 - Research Planning &amp; Scheduling",
    "section": "Gantt Chart",
    "question": "How do I use a Gantt chart for my research project?",
    "module": "Research Project (CPL)",
    "topic": "Gantt Chart",
    "chunk_id": "LM0405"
  }
}</t>
        </is>
      </c>
      <c r="I2" s="12" t="inlineStr">
        <is>
          <t>{
  "rank": 2,
  "chunk_id": "LM0606",
  "title": "Data Visualisation",
  "instructional_unit": "IU06 - Data Analysis &amp; Interpretation",
  "document_type": "Learning Material",
  "source_file": "IU06_Data_Analysis_and_Interpretation_RAG.docx",
  "distance": 1.3914556503295898,
  "content": "Data Visualisation Present findings using appropriate tables and charts. Visualisations should make important patterns easier to understand. Bar charts suit category comparisons, line charts suit change over time, and tables can present exact values or detailed comparisons. Visuals need meaningful titles, labels, units, and explanations in the text. A bar chart can compare the percentage of respondents who prefer human support, chatbot support, or a hybrid approach. Choose the visual based on the message and data type; label it clearly; explain what the reader should notice.",
  "metadata": {
    "topic": "Data Visualisation",
    "intent": "Explain / Guide",
    "source": "Official Learning Material",
    "document_type": "Learning Material",
    "title": "Data Visualisation",
    "audience": "Learner",
    "module": "Research Project (CPL)",
    "keywords": "data visualisation, charts, tables, bar chart, line chart",
    "difficulty": "Beginner",
    "question": "Which chart should I use for my research data?",
    "version": "1.0",
    "course_id": "CPL",
    "instructional_unit": "IU06 - Data Analysis &amp; Interpretation",
    "source_file": "IU06_Data_Analysis_and_Interpretation_RAG.docx",
    "section": "Visualisation",
    "chunk_id": "LM0606"
  }
}</t>
        </is>
      </c>
      <c r="J2" s="12" t="inlineStr">
        <is>
          <t>{
  "rank": 3,
  "chunk_id": "LM0409",
  "title": "Monitoring and Updating the Plan",
  "instructional_unit": "IU04 - Research Planning &amp; Scheduling",
  "document_type": "Learning Material",
  "source_file": "IU04_Research_Planning_and_Scheduling_RAG.docx",
  "distance": 1.4235056638717651,
  "content": "Monitoring and Updating the Plan Use the plan as an active project-control tool. Progress should be compared with the planned schedule throughout the project. When tasks are delayed or assumptions change, the learner should record the change, assess its effect on later activities, and revise the schedule or scope where appropriate. If participant recruitment takes one week longer, the learner may revise analysis dates while protecting the final reporting deadline. Monitor actual versus planned progress; document significant changes; adapt while preserving research objectives.",
  "metadata": {
    "course_id": "CPL",
    "source": "Official Learning Material",
    "source_file": "IU04_Research_Planning_and_Scheduling_RAG.docx",
    "title": "Monitoring and Updating the Plan",
    "intent": "Explain / Guide",
    "version": "1.0",
    "instructional_unit": "IU04 - Research Planning &amp; Scheduling",
    "audience": "Learner",
    "keywords": "monitoring, schedule update, progress, delay",
    "difficulty": "Beginner",
    "chunk_id": "LM0409",
    "question": "What should I do if my research project falls behind schedule?",
    "section": "Monitoring",
    "document_type": "Learning Material",
    "module": "Research Project (CPL)",
    "topic": "Monitoring and Updating the Plan"
  }
}</t>
        </is>
      </c>
      <c r="K2" s="12" t="inlineStr">
        <is>
          <t>{
  "rank": 4,
  "chunk_id": "LM0403",
  "title": "Task Dependencies",
  "instructional_unit": "IU04 - Research Planning &amp; Scheduling",
  "document_type": "Learning Material",
  "source_file": "IU04_Research_Planning_and_Scheduling_RAG.docx",
  "distance": 1.4839742183685303,
  "content": "Task Dependencies Identify relationships between research activities. A dependency exists when one activity relies on another. Finish-to-start relationships are common in research: for example, data analysis normally cannot be completed until relevant data has been collected. Recognising dependencies prevents unrealistic scheduling and helps identify activities that could delay later work. The questionnaire should be designed and checked before it is distributed; data collection should be substantially complete before final quantitative analysis begins. Sequence tasks logically; identify prerequisites; dependencies affect the schedule and project risk.",
  "metadata": {
    "intent": "Explain / Guide",
    "difficulty": "Beginner",
    "module": "Research Project (CPL)",
    "topic": "Task Dependencies",
    "instructional_unit": "IU04 - Research Planning &amp; Scheduling",
    "chunk_id": "LM0403",
    "course_id": "CPL",
    "source_file": "IU04_Research_Planning_and_Scheduling_RAG.docx",
    "source": "Official Learning Material",
    "document_type": "Learning Material",
    "audience": "Learner",
    "section": "Dependencies",
    "version": "1.0",
    "keywords": "task dependency, sequencing, prerequisite, schedule",
    "title": "Task Dependencies",
    "question": "What are task dependencies in a research project?"
  }
}</t>
        </is>
      </c>
      <c r="L2" s="12" t="inlineStr">
        <is>
          <t>{
  "rank": 5,
  "chunk_id": "LM0410",
  "title": "IU04 Learning Check",
  "instructional_unit": "IU04 - Research Planning &amp; Scheduling",
  "document_type": "Learning Material",
  "source_file": "IU04_Research_Planning_and_Scheduling_RAG.docx",
  "distance": 1.516070008277893,
  "content": "IU04 Learning Check Confirm that the project is ready for execution. Before beginning substantial data collection, the learner should have a WBS, logical task sequence, milestones, deliverables, realistic schedule, required resources, key risks, and a method for monitoring progress. The learner should be able to explain not only when each activity occurs but why the sequence and duration are realistic. A useful plan is traceable from objectives to tasks, schedule, resources, risks, and outputs.",
  "metadata": {
    "source": "Official Learning Material",
    "intent": "Explain / Guide",
    "difficulty": "Beginner",
    "keywords": "IU04 summary, WBS, Gantt chart, research planning checklist",
    "instructional_unit": "IU04 - Research Planning &amp; Scheduling",
    "module": "Research Project (CPL)",
    "document_type": "Learning Material",
    "audience": "Learner",
    "section": "IU04 Summary",
    "version": "1.0",
    "title": "IU04 Learning Check",
    "course_id": "CPL",
    "question": "What should be completed in my research project plan?",
    "chunk_id": "LM0410",
    "topic": "IU04 Learning Check",
    "source_file": "IU04_Research_Planning_and_Scheduling_RAG.docx"
  }
}</t>
        </is>
      </c>
      <c r="M2" s="12" t="inlineStr">
        <is>
          <t>Pass</t>
        </is>
      </c>
      <c r="N2" s="12" t="inlineStr">
        <is>
          <t>Pass</t>
        </is>
      </c>
      <c r="O2" s="12" t="inlineStr">
        <is>
          <t>Pass</t>
        </is>
      </c>
      <c r="P2" s="12" t="inlineStr">
        <is>
          <t>Pass</t>
        </is>
      </c>
      <c r="Q2" s="12" t="inlineStr">
        <is>
          <t>Partial</t>
        </is>
      </c>
      <c r="R2" s="12" t="inlineStr">
        <is>
          <t>Pass</t>
        </is>
      </c>
      <c r="S2" s="12" t="inlineStr">
        <is>
          <t>Retrieval</t>
        </is>
      </c>
      <c r="T2" s="12" t="inlineStr">
        <is>
          <t>Correct Gantt chunk ranked first, but lower-ranked results included weak/unnecessary context such as Data Visualisation.</t>
        </is>
      </c>
    </row>
    <row r="3">
      <c r="A3" s="12" t="inlineStr">
        <is>
          <t>T02</t>
        </is>
      </c>
      <c r="B3" s="12" t="inlineStr">
        <is>
          <t>Explanation / Cross-concept</t>
        </is>
      </c>
      <c r="C3" s="12" t="inlineStr">
        <is>
          <t>IU04</t>
        </is>
      </c>
      <c r="D3" s="12" t="inlineStr">
        <is>
          <t>Why should I create my Gantt chart from the Work Breakdown Structure instead of just listing my project activities?</t>
        </is>
      </c>
      <c r="E3" s="12" t="inlineStr">
        <is>
          <t>IU04 – WBS, Gantt Chart, Task Dependencies</t>
        </is>
      </c>
      <c r="F3" s="12" t="inlineStr">
        <is>
          <t>Explain Topic</t>
        </is>
      </c>
      <c r="G3" s="12" t="inlineStr">
        <is>
          <t>Creating a Gantt chart from the Work Breakdown Structure (WBS) is beneficial because it helps in effectively communicating the project schedule. The WBS breaks down the project into manageable work packages and tasks, providing a structured foundation for scheduling. By building the Gantt chart from the WBS, you ensure that the chart reflects realistic timing, overlap, dependencies, milestones, and progress of the project activities. This approach helps in maintaining alignment between the project's detailed breakdown and its visual representation in the Gantt chart. Additionally, updating the Gantt chart based on changes in the WBS ensures that the project schedule remains accurate and reflects any modifications in the project plan.</t>
        </is>
      </c>
      <c r="H3" s="12" t="inlineStr">
        <is>
          <t>{
  "rank": 1,
  "chunk_id": "LM0405",
  "title": "Gantt Chart",
  "instructional_unit": "IU04 - Research Planning &amp; Scheduling",
  "document_type": "Learning Material",
  "source_file": "IU04_Research_Planning_and_Scheduling_RAG.docx",
  "distance": 0.8839482665061951,
  "content": "Gantt Chart Use a Gantt chart to communicate the project schedule. A Gantt chart displays project activities against time. It can show start and finish dates, durations, overlap, dependencies, milestones, and progress. The chart should reflect the WBS and be updated when significant changes occur rather than being created only for submission. A 10-week research project might schedule literature review in Weeks 1–3, methodology in Weeks 2–4, data collection in Weeks 4–6, analysis in Weeks 6–7, and reporting in Weeks 7–10. Build the Gantt chart from the WBS; show realistic timing and overlap; update it when the plan changes.",
  "metadata": {
    "document_type": "Learning Material",
    "source_file": "IU04_Research_Planning_and_Scheduling_RAG.docx",
    "difficulty": "Beginner",
    "section": "Gantt Chart",
    "audience": "Learner",
    "chunk_id": "LM0405",
    "intent": "Explain / Guide",
    "version": "1.0",
    "question": "How do I use a Gantt chart for my research project?",
    "module": "Research Project (CPL)",
    "course_id": "CPL",
    "title": "Gantt Chart",
    "topic": "Gantt Chart",
    "instructional_unit": "IU04 - Research Planning &amp; Scheduling",
    "source": "Official Learning Material",
    "keywords": "Gantt chart, timeline, schedule, duration"
  }
}</t>
        </is>
      </c>
      <c r="I3" s="12" t="inlineStr">
        <is>
          <t>{
  "rank": 2,
  "chunk_id": "LM0402",
  "title": "Work Breakdown Structure (WBS)",
  "instructional_unit": "IU04 - Research Planning &amp; Scheduling",
  "document_type": "Learning Material",
  "source_file": "IU04_Research_Planning_and_Scheduling_RAG.docx",
  "distance": 0.9194244742393494,
  "content": "Work Breakdown Structure (WBS) Break a research project into manageable work packages and tasks. A Work Breakdown Structure divides the overall project into smaller deliverables, activities, and tasks. The decomposition should be detailed enough to estimate effort, assign responsibility, monitor progress, and identify dependencies without becoming an unnecessary list of tiny actions. Research Project → Proposal → Literature Review → Methodology → Data Collection → Analysis → Findings → Recommendations → Reflection → Final Submission. Break work into manageable units; organise around deliverables; use the WBS as the foundation for scheduling.",
  "metadata": {
    "title": "Work Breakdown Structure (WBS)",
    "topic": "Work Breakdown Structure (WBS)",
    "difficulty": "Beginner",
    "version": "1.0",
    "chunk_id": "LM0402",
    "intent": "Explain / Guide",
    "module": "Research Project (CPL)",
    "section": "WBS",
    "course_id": "CPL",
    "audience": "Learner",
    "keywords": "WBS, work breakdown structure, tasks, work packages",
    "instructional_unit": "IU04 - Research Planning &amp; Scheduling",
    "source_file": "IU04_Research_Planning_and_Scheduling_RAG.docx",
    "question": "What is a Work Breakdown Structure?",
    "source": "Official Learning Material",
    "document_type": "Learning Material"
  }
}</t>
        </is>
      </c>
      <c r="J3" s="12" t="inlineStr">
        <is>
          <t>{
  "rank": 3,
  "chunk_id": "LM0410",
  "title": "IU04 Learning Check",
  "instructional_unit": "IU04 - Research Planning &amp; Scheduling",
  "document_type": "Learning Material",
  "source_file": "IU04_Research_Planning_and_Scheduling_RAG.docx",
  "distance": 1.2050713300704956,
  "content": "IU04 Learning Check Confirm that the project is ready for execution. Before beginning substantial data collection, the learner should have a WBS, logical task sequence, milestones, deliverables, realistic schedule, required resources, key risks, and a method for monitoring progress. The learner should be able to explain not only when each activity occurs but why the sequence and duration are realistic. A useful plan is traceable from objectives to tasks, schedule, resources, risks, and outputs.",
  "metadata": {
    "keywords": "IU04 summary, WBS, Gantt chart, research planning checklist",
    "section": "IU04 Summary",
    "chunk_id": "LM0410",
    "course_id": "CPL",
    "intent": "Explain / Guide",
    "difficulty": "Beginner",
    "question": "What should be completed in my research project plan?",
    "topic": "IU04 Learning Check",
    "source": "Official Learning Material",
    "title": "IU04 Learning Check",
    "source_file": "IU04_Research_Planning_and_Scheduling_RAG.docx",
    "version": "1.0",
    "document_type": "Learning Material",
    "instructional_unit": "IU04 - Research Planning &amp; Scheduling",
    "module": "Research Project (CPL)",
    "audience": "Learner"
  }
}</t>
        </is>
      </c>
      <c r="K3" s="12" t="inlineStr">
        <is>
          <t>{
  "rank": 4,
  "chunk_id": "LM0403",
  "title": "Task Dependencies",
  "instructional_unit": "IU04 - Research Planning &amp; Scheduling",
  "document_type": "Learning Material",
  "source_file": "IU04_Research_Planning_and_Scheduling_RAG.docx",
  "distance": 1.2465741634368896,
  "content": "Task Dependencies Identify relationships between research activities. A dependency exists when one activity relies on another. Finish-to-start relationships are common in research: for example, data analysis normally cannot be completed until relevant data has been collected. Recognising dependencies prevents unrealistic scheduling and helps identify activities that could delay later work. The questionnaire should be designed and checked before it is distributed; data collection should be substantially complete before final quantitative analysis begins. Sequence tasks logically; identify prerequisites; dependencies affect the schedule and project risk.",
  "metadata": {
    "document_type": "Learning Material",
    "course_id": "CPL",
    "intent": "Explain / Guide",
    "instructional_unit": "IU04 - Research Planning &amp; Scheduling",
    "audience": "Learner",
    "module": "Research Project (CPL)",
    "topic": "Task Dependencies",
    "source_file": "IU04_Research_Planning_and_Scheduling_RAG.docx",
    "section": "Dependencies",
    "version": "1.0",
    "question": "What are task dependencies in a research project?",
    "keywords": "task dependency, sequencing, prerequisite, schedule",
    "difficulty": "Beginner",
    "source": "Official Learning Material",
    "title": "Task Dependencies",
    "chunk_id": "LM0403"
  }
}</t>
        </is>
      </c>
      <c r="L3" s="12" t="inlineStr">
        <is>
          <t>{
  "rank": 5,
  "chunk_id": "LM0409",
  "title": "Monitoring and Updating the Plan",
  "instructional_unit": "IU04 - Research Planning &amp; Scheduling",
  "document_type": "Learning Material",
  "source_file": "IU04_Research_Planning_and_Scheduling_RAG.docx",
  "distance": 1.3036946058273315,
  "content": "Monitoring and Updating the Plan Use the plan as an active project-control tool. Progress should be compared with the planned schedule throughout the project. When tasks are delayed or assumptions change, the learner should record the change, assess its effect on later activities, and revise the schedule or scope where appropriate. If participant recruitment takes one week longer, the learner may revise analysis dates while protecting the final reporting deadline. Monitor actual versus planned progress; document significant changes; adapt while preserving research objectives.",
  "metadata": {
    "module": "Research Project (CPL)",
    "version": "1.0",
    "section": "Monitoring",
    "difficulty": "Beginner",
    "instructional_unit": "IU04 - Research Planning &amp; Scheduling",
    "topic": "Monitoring and Updating the Plan",
    "title": "Monitoring and Updating the Plan",
    "course_id": "CPL",
    "document_type": "Learning Material",
    "chunk_id": "LM0409",
    "keywords": "monitoring, schedule update, progress, delay",
    "source": "Official Learning Material",
    "intent": "Explain / Guide",
    "audience": "Learner",
    "source_file": "IU04_Research_Planning_and_Scheduling_RAG.docx",
    "question": "What should I do if my research project falls behind schedule?"
  }
}</t>
        </is>
      </c>
      <c r="M3" s="12" t="inlineStr">
        <is>
          <t>Pass</t>
        </is>
      </c>
      <c r="N3" s="12" t="inlineStr">
        <is>
          <t>Pass</t>
        </is>
      </c>
      <c r="O3" s="12" t="inlineStr">
        <is>
          <t>Pass</t>
        </is>
      </c>
      <c r="P3" s="12" t="inlineStr">
        <is>
          <t>Pass</t>
        </is>
      </c>
      <c r="Q3" s="12" t="inlineStr">
        <is>
          <t>Pass</t>
        </is>
      </c>
      <c r="R3" s="12" t="inlineStr">
        <is>
          <t>Pass</t>
        </is>
      </c>
      <c r="S3" s="12" t="n"/>
      <c r="T3" s="12" t="inlineStr">
        <is>
          <t>Initial run returned OpenAI API 500; retry succeeded.</t>
        </is>
      </c>
    </row>
    <row r="4">
      <c r="A4" s="12" t="inlineStr">
        <is>
          <t>T03</t>
        </is>
      </c>
      <c r="B4" s="12" t="inlineStr">
        <is>
          <t>Explanation / Guidance</t>
        </is>
      </c>
      <c r="C4" s="12" t="inlineStr">
        <is>
          <t>IU02 / IU01</t>
        </is>
      </c>
      <c r="D4" s="12" t="inlineStr">
        <is>
          <t>What makes a good research question, and how can I tell if mine is too broad?</t>
        </is>
      </c>
      <c r="E4" s="12" t="inlineStr">
        <is>
          <t>IU02 – Research Questions; IU01 – Research Scope</t>
        </is>
      </c>
      <c r="F4" s="12" t="inlineStr">
        <is>
          <t>Explain Topic</t>
        </is>
      </c>
      <c r="G4" s="12" t="inlineStr">
        <is>
          <t>A good research question should be clear, focused, answerable using evidence, aligned with the research problem and objectives, and neither too broad nor too narrow. To determine if your research question is too broad, you can consider the following:
1. **Focus**: Ensure that your research question is specific and directly addresses the core of your research problem. For example, "How can AI chatbots improve response efficiency for common online customer-support enquiries at Jumpstart?" is a focused research question that aligns with the problem and objectives.
2. **Manageability**: A research question should be manageable within the available timeframe and resources. If your question seems too broad to be completed or if collecting evidence realistically seems challenging, it might be too broad.
3. **Alignment**: Check if your research question aligns with the problem, aim, and objectives of your research. Ensure that all elements point in the same direction to maintain coherence in your study.
4. **Avoiding Overlap**: Make sure that your research question does not overlap with multiple objectives or cover too wide a scope. It should be distinct and specific to guide your research effectively.
By considering these factors and ensuring that your research question meets these criteria, you can determine if it is too broad and make necessary adjustments to refine it for a more focused and manageable research study.</t>
        </is>
      </c>
      <c r="H4" s="12" t="inlineStr">
        <is>
          <t>{
  "rank": 1,
  "chunk_id": "LM0201",
  "title": "Research Questions",
  "instructional_unit": "IU02 - Research Questions &amp; Literature Review",
  "document_type": "Learning Material",
  "source_file": "IU02_Research_Questions_and_Literature_Review_RAG.docx",
  "distance": 1.0539922714233398,
  "content": "Research Questions Formulate a clear and researchable question. A research question states exactly what the study intends to investigate. It should be focused, answerable using evidence, aligned with the research problem and objectives, and neither so broad that it cannot be completed nor so narrow that meaningful analysis is impossible. How can AI chatbots improve response efficiency for common online customer-support enquiries at Jumpstart? Align the question with the problem and objectives; keep it focused; ensure evidence can realistically be collected.",
  "metadata": {
    "keywords": "research question, focused question, researchable question",
    "source": "Official Learning Material",
    "chunk_id": "LM0201",
    "intent": "Explain / Guide",
    "topic": "Research Questions",
    "section": "Research Question",
    "title": "Research Questions",
    "difficulty": "Beginner",
    "version": "1.0",
    "instructional_unit": "IU02 - Research Questions &amp; Literature Review",
    "course_id": "CPL",
    "question": "How do I write a good research question?",
    "module": "Research Project (CPL)",
    "document_type": "Learning Material",
    "source_file": "IU02_Research_Questions_and_Literature_Review_RAG.docx",
    "audience": "Learner"
  }
}</t>
        </is>
      </c>
      <c r="I4" s="12" t="inlineStr">
        <is>
          <t>{
  "rank": 2,
  "chunk_id": "LM0202",
  "title": "Research Aim, Objectives and Question Alignment",
  "instructional_unit": "IU02 - Research Questions &amp; Literature Review",
  "document_type": "Learning Material",
  "source_file": "IU02_Research_Questions_and_Literature_Review_RAG.docx",
  "distance": 1.1084747314453125,
  "content": "Research Aim, Objectives and Question Alignment Understand how the problem, aim, objectives, and research question connect. The problem explains why research is needed; the aim states the overall purpose; objectives define the actions; and the research question identifies what must be answered. These elements should point in the same direction. Problem: slow support response. Aim: investigate AI chatbot suitability. Objective: evaluate benefits and limitations. Question: how could an AI chatbot affect support efficiency? Check alignment before data collection; avoid objectives that do not contribute to the research question.",
  "metadata": {
    "instructional_unit": "IU02 - Research Questions &amp; Literature Review",
    "chunk_id": "LM0202",
    "difficulty": "Beginner",
    "version": "1.0",
    "keywords": "aim, objectives, research question, alignment",
    "course_id": "CPL",
    "source_file": "IU02_Research_Questions_and_Literature_Review_RAG.docx",
    "title": "Research Aim, Objectives and Question Alignment",
    "section": "Alignment",
    "source": "Official Learning Material",
    "topic": "Research Aim, Objectives and Question Alignment",
    "document_type": "Learning Material",
    "module": "Research Project (CPL)",
    "intent": "Explain / Guide",
    "question": "How should my research question align with my objectives?",
    "audience": "Learner"
  }
}</t>
        </is>
      </c>
      <c r="J4" s="12" t="inlineStr">
        <is>
          <t>{
  "rank": 3,
  "chunk_id": "LM0103",
  "title": "Selecting a Research Topic",
  "instructional_unit": "IU01 - Project Initiation &amp; Research Topic",
  "document_type": "Learning Material",
  "source_file": "IU01_Project_Initiation_RAG_Learning_Material.docx",
  "distance": 1.118632435798645,
  "content": "Selecting a Research Topic Select a focused, relevant, and researchable topic. A suitable research topic should be relevant to the assignment scenario, narrow enough to investigate within the available timeframe, supported by accessible evidence, and connected to a meaningful business or computing problem. Avoid topics that are extremely broad, purely descriptive, or impossible to investigate with available data. Broad topic: 'Artificial Intelligence in Retail.' More focused topic: 'The use of AI chatbots to improve response time for common customer enquiries at Jumpstart.' Choose one clear area; narrow the context and problem; check access to literature and data; ensure the topic is achievable.",
  "metadata": {
    "document_type": "Learning Material",
    "source_file": "IU01_Project_Initiation_RAG_Learning_Material.docx",
    "topic": "Selecting a Research Topic",
    "course_id": "CPL",
    "keywords": "research topic, topic selection, focused topic, researchable topic, scope",
    "module": "Research Project (CPL)",
    "chunk_id": "LM0103",
    "section": "Topic Selection",
    "title": "Selecting a Research Topic",
    "intent": "Explain / Guide",
    "instructional_unit": "IU01 - Project Initiation &amp; Research Topic",
    "difficulty": "Beginner",
    "source": "Official Learning Material",
    "version": "1.0",
    "audience": "Learner",
    "question": "How do I choose a good research topic?"
  }
}</t>
        </is>
      </c>
      <c r="K4" s="12" t="inlineStr">
        <is>
          <t>{
  "rank": 4,
  "chunk_id": "LM0106",
  "title": "Research Scope",
  "instructional_unit": "IU01 - Project Initiation &amp; Research Topic",
  "document_type": "Learning Material",
  "source_file": "IU01_Project_Initiation_RAG_Learning_Material.docx",
  "distance": 1.1265008449554443,
  "content": "Research Scope Define what the research will and will not cover. Research scope establishes the boundaries of the project. It may define the business area, technology, population, data sources, geographic context, timeframe, and issues included or excluded. A clear scope prevents the project from becoming too broad and helps the learner use available time and resources effectively. A project on AI customer support may focus on frequently asked e-commerce questions and exclude in-store staff support, multilingual voice assistants, and full production implementation. Define inclusions and exclusions; connect scope to available time and evidence; keep the study focused enough to complete.",
  "metadata": {
    "intent": "Explain / Guide",
    "document_type": "Learning Material",
    "module": "Research Project (CPL)",
    "question": "What should be included in my research scope?",
    "version": "1.0",
    "course_id": "CPL",
    "difficulty": "Beginner",
    "chunk_id": "LM0106",
    "section": "Project Scope",
    "instructional_unit": "IU01 - Project Initiation &amp; Research Topic",
    "audience": "Learner",
    "topic": "Research Scope",
    "keywords": "research scope, boundaries, in scope, out of scope, project scope",
    "source_file": "IU01_Project_Initiation_RAG_Learning_Material.docx",
    "title": "Research Scope",
    "source": "Official Learning Material"
  }
}</t>
        </is>
      </c>
      <c r="L4" s="12" t="inlineStr">
        <is>
          <t>{
  "rank": 5,
  "chunk_id": "LM0209",
  "title": "IU02 Learning Check",
  "instructional_unit": "IU02 - Research Questions &amp; Literature Review",
  "document_type": "Learning Material",
  "source_file": "IU02_Research_Questions_and_Literature_Review_RAG.docx",
  "distance": 1.1700830459594727,
  "content": "IU02 Learning Check Consolidate the foundation for the proposal. Before progressing, the learner should have a focused research question aligned with the problem, aim, and objectives; a set of credible sources; a thematic and critical literature review; and a defensible research gap. The learner should be able to explain what existing research says, where evidence differs or is limited, and how this supports the chosen research question. Research questions and literature should reinforce each other and provide the evidence base for methodology selection.",
  "metadata": {
    "section": "IU02 Summary",
    "document_type": "Learning Material",
    "difficulty": "Beginner",
    "source_file": "IU02_Research_Questions_and_Literature_Review_RAG.docx",
    "chunk_id": "LM0209",
    "source": "Official Learning Material",
    "audience": "Learner",
    "topic": "IU02 Learning Check",
    "question": "What should I complete after the literature review stage?",
    "instructional_unit": "IU02 - Research Questions &amp; Literature Review",
    "keywords": "IU02 summary, research question, literature review checklist",
    "course_id": "CPL",
    "module": "Research Project (CPL)",
    "version": "1.0",
    "title": "IU02 Learning Check",
    "intent": "Explain / Guide"
  }
}</t>
        </is>
      </c>
      <c r="M4" s="12" t="inlineStr">
        <is>
          <t>Pass</t>
        </is>
      </c>
      <c r="N4" s="12" t="inlineStr">
        <is>
          <t>Pass</t>
        </is>
      </c>
      <c r="O4" s="12" t="inlineStr">
        <is>
          <t>Pass</t>
        </is>
      </c>
      <c r="P4" s="12" t="inlineStr">
        <is>
          <t>Pass</t>
        </is>
      </c>
      <c r="Q4" s="12" t="inlineStr">
        <is>
          <t>Pass</t>
        </is>
      </c>
      <c r="R4" s="12" t="inlineStr">
        <is>
          <t>Pass</t>
        </is>
      </c>
      <c r="S4" s="12" t="n"/>
      <c r="T4" s="12" t="inlineStr">
        <is>
          <t>Initial run returned OpenAI API 500; retry succeeded.</t>
        </is>
      </c>
    </row>
    <row r="5">
      <c r="A5" s="12" t="inlineStr">
        <is>
          <t>T04</t>
        </is>
      </c>
      <c r="B5" s="12" t="inlineStr">
        <is>
          <t>Scenario / Application</t>
        </is>
      </c>
      <c r="C5" s="12" t="inlineStr">
        <is>
          <t>IU03 / IU05</t>
        </is>
      </c>
      <c r="D5" s="12" t="inlineStr">
        <is>
          <t>I only have 20 people answering my survey. Is that enough for my research?</t>
        </is>
      </c>
      <c r="E5" s="12" t="inlineStr">
        <is>
          <t>Research methodology, sampling, limitations</t>
        </is>
      </c>
      <c r="F5" s="12" t="inlineStr">
        <is>
          <t>Ask Anything</t>
        </is>
      </c>
      <c r="G5" s="12" t="inlineStr">
        <is>
          <t>Based on the course materials provided, having only 20 people answering your survey may not be enough for your research, especially if you aim to generalize your findings to a larger population. 
In the "Sampling for Data Collection" chunk, it mentions that probability methods can support broader generalization when feasible. However, non-probability methods like convenience sampling, which may be suitable for constrained student projects, may introduce bias. 
Additionally, in the "Limitations" chunk, it explains that small or biased samples are limitations that can restrict the strength or transferability of conclusions. Therefore, having only 20 respondents may limit the generalizability and reliability of your research findings.
It is important to consider the target population, sampling method, and size when conducting research to ensure that your findings are representative and reliable. If possible, you may want to consider increasing the number of survey respondents to improve the validity of your research results.</t>
        </is>
      </c>
      <c r="H5" s="12" t="inlineStr">
        <is>
          <t>{
  "rank": 1,
  "chunk_id": "LM0503",
  "title": "Questionnaires and Surveys",
  "instructional_unit": "IU05 - Primary &amp; Secondary Research",
  "document_type": "Learning Material",
  "source_file": "IU05_Primary_and_Secondary_Research_RAG.docx",
  "distance": 1.2372572422027588,
  "content": "Questionnaires and Surveys Design structured questions that produce useful evidence. Questionnaires are efficient for collecting responses from multiple participants. Questions should be clear, neutral, relevant to the research objectives, and ordered logically. Closed questions support quantitative analysis, while carefully selected open questions can provide additional explanation. Pilot testing can identify confusing wording. Instead of asking 'Don't you think AI chatbots are convenient?', ask a neutral item such as 'How satisfied would you be using an AI chatbot for common order enquiries?' with a defined response scale. Avoid leading or double-barrelled questions; align each item with an objective; pilot before full distribution.",
  "metadata": {
    "section": "Survey Design",
    "version": "1.0",
    "module": "Research Project (CPL)",
    "source_file": "IU05_Primary_and_Secondary_Research_RAG.docx",
    "topic": "Questionnaires and Surveys",
    "question": "How do I design a good questionnaire?",
    "instructional_unit": "IU05 - Primary &amp; Secondary Research",
    "difficulty": "Beginner",
    "audience": "Learner",
    "keywords": "questionnaire, survey, Likert scale, pilot test",
    "document_type": "Learning Material",
    "source": "Official Learning Material",
    "title": "Questionnaires and Surveys",
    "chunk_id": "LM0503",
    "intent": "Explain / Guide",
    "course_id": "CPL"
  }
}</t>
        </is>
      </c>
      <c r="I5" s="12" t="inlineStr">
        <is>
          <t>{
  "rank": 2,
  "chunk_id": "LM0505",
  "title": "Sampling for Data Collection",
  "instructional_unit": "IU05 - Primary &amp; Secondary Research",
  "document_type": "Learning Material",
  "source_file": "IU05_Primary_and_Secondary_Research_RAG.docx",
  "distance": 1.2375186681747437,
  "content": "Sampling for Data Collection Select participants or data that appropriately represent the research need. Sampling defines who or what will provide evidence. The target population should be stated clearly. Probability methods can support broader generalisation when feasible, while non-probability methods such as convenience or purposive sampling may suit constrained student projects but require acknowledgement of bias. For research on customer-support automation, purposive sampling might select staff who regularly handle online customer enquiries because they have relevant experience. Define the population; justify the sampling method and size; explain access constraints and possible bias.",
  "metadata": {
    "module": "Research Project (CPL)",
    "course_id": "CPL",
    "source_file": "IU05_Primary_and_Secondary_Research_RAG.docx",
    "title": "Sampling for Data Collection",
    "topic": "Sampling for Data Collection",
    "section": "Sampling",
    "question": "Who should participate in my research?",
    "instructional_unit": "IU05 - Primary &amp; Secondary Research",
    "document_type": "Learning Material",
    "version": "1.0",
    "audience": "Learner",
    "source": "Official Learning Material",
    "keywords": "sampling, population, sample size, purposive sampling, convenience sampling",
    "intent": "Explain / Guide",
    "chunk_id": "LM0505",
    "difficulty": "Beginner"
  }
}</t>
        </is>
      </c>
      <c r="J5" s="12" t="inlineStr">
        <is>
          <t>{
  "rank": 3,
  "chunk_id": "LM0602",
  "title": "Quantitative Data Analysis",
  "instructional_unit": "IU06 - Data Analysis &amp; Interpretation",
  "document_type": "Learning Material",
  "source_file": "IU06_Data_Analysis_and_Interpretation_RAG.docx",
  "distance": 1.2763941287994385,
  "content": "Quantitative Data Analysis Analyse numerical research data appropriately. Quantitative analysis may use frequencies, percentages, averages, distributions, cross-tabulations, charts, or appropriate statistical tests. The goal is to describe patterns or evaluate relationships without overstating what the data proves. If 65 of 100 respondents prefer chatbot support for order tracking, the learner can report 65% and compare preferences across relevant participant groups where justified. Select calculations that answer the objective; present numbers clearly; distinguish description from causal claims.",
  "metadata": {
    "audience": "Learner",
    "chunk_id": "LM0602",
    "course_id": "CPL",
    "keywords": "quantitative analysis, percentage, mean, statistics, survey data",
    "version": "1.0",
    "instructional_unit": "IU06 - Data Analysis &amp; Interpretation",
    "difficulty": "Beginner",
    "source_file": "IU06_Data_Analysis_and_Interpretation_RAG.docx",
    "section": "Quantitative Analysis",
    "source": "Official Learning Material",
    "module": "Research Project (CPL)",
    "intent": "Explain / Guide",
    "question": "How do I analyse quantitative data?",
    "document_type": "Learning Material",
    "topic": "Quantitative Data Analysis",
    "title": "Quantitative Data Analysis"
  }
}</t>
        </is>
      </c>
      <c r="K5" s="12" t="inlineStr">
        <is>
          <t>{
  "rank": 4,
  "chunk_id": "LM0305",
  "title": "Quantitative Research",
  "instructional_unit": "IU03 - Research Methodologies",
  "document_type": "Learning Material",
  "source_file": "IU03_Research_Methodologies_RAG.docx",
  "distance": 1.3056437969207764,
  "content": "Quantitative Research Understand when quantitative research is appropriate. Quantitative research uses numerical data to measure variables, identify patterns, compare groups, or test relationships. Common methods include structured surveys, experiments, system measurements, and analysis of datasets. Results may be summarised using descriptive or inferential statistics. A survey can measure how many customers prefer chatbot support and compare satisfaction ratings across age groups. Useful for measurement and comparison; requires well-designed variables and samples; numerical results still require interpretation.",
  "metadata": {
    "instructional_unit": "IU03 - Research Methodologies",
    "topic": "Quantitative Research",
    "keywords": "quantitative research, survey, numerical data, statistics",
    "version": "1.0",
    "source_file": "IU03_Research_Methodologies_RAG.docx",
    "audience": "Learner",
    "module": "Research Project (CPL)",
    "document_type": "Learning Material",
    "question": "When should I use quantitative research?",
    "title": "Quantitative Research",
    "chunk_id": "LM0305",
    "course_id": "CPL",
    "section": "Quantitative Research",
    "source": "Official Learning Material",
    "intent": "Explain / Guide",
    "difficulty": "Beginner"
  }
}</t>
        </is>
      </c>
      <c r="L5" s="12" t="inlineStr">
        <is>
          <t>{
  "rank": 5,
  "chunk_id": "LM0804",
  "title": "Limitations",
  "instructional_unit": "IU08 - Reflection &amp; Future Research",
  "document_type": "Learning Material",
  "source_file": "IU08_Reflection_and_Future_Research_RAG.docx",
  "distance": 1.3200494050979614,
  "content": "Limitations Explain boundaries that affect interpretation of the research. Limitations are characteristics of the design, data, context, or execution that restrict the strength or transferability of conclusions. Examples include small or biased samples, limited time, self-reported data, restricted organisational access, limited technical testing, or reliance on secondary evidence. A study based on 40 convenience-sampled respondents may provide exploratory insight but cannot confidently represent all customers across 750 stores. Be specific; explain how the limitation affects findings; do not treat limitations as an admission that the whole project failed.",
  "metadata": {
    "question": "How should I discuss research limitations?",
    "section": "Limitations",
    "source_file": "IU08_Reflection_and_Future_Research_RAG.docx",
    "course_id": "CPL",
    "title": "Limitations",
    "keywords": "limitations, sample size, bias, generalisation, constraints",
    "intent": "Explain / Guide",
    "chunk_id": "LM0804",
    "version": "1.0",
    "document_type": "Learning Material",
    "instructional_unit": "IU08 - Reflection &amp; Future Research",
    "topic": "Limitations",
    "difficulty": "Beginner",
    "source": "Official Learning Material",
    "module": "Research Project (CPL)",
    "audience": "Learner"
  }
}</t>
        </is>
      </c>
      <c r="M5" s="12" t="inlineStr">
        <is>
          <t>Partial</t>
        </is>
      </c>
      <c r="N5" s="12" t="inlineStr">
        <is>
          <t>Pass</t>
        </is>
      </c>
      <c r="O5" s="12" t="inlineStr">
        <is>
          <t>Pass</t>
        </is>
      </c>
      <c r="P5" s="12" t="inlineStr">
        <is>
          <t>Partial</t>
        </is>
      </c>
      <c r="Q5" s="12" t="inlineStr">
        <is>
          <t>Pass</t>
        </is>
      </c>
      <c r="R5" s="12" t="inlineStr">
        <is>
          <t>Partial</t>
        </is>
      </c>
      <c r="S5" s="12" t="inlineStr">
        <is>
          <t>Cautious Reasoning</t>
        </is>
      </c>
      <c r="T5" s="12" t="inlineStr">
        <is>
          <t>Retrieval was good, but the answer was slightly too certain about whether 20 survey responses are sufficient.</t>
        </is>
      </c>
    </row>
    <row r="6">
      <c r="A6" s="12" t="inlineStr">
        <is>
          <t>T05</t>
        </is>
      </c>
      <c r="B6" s="12" t="inlineStr">
        <is>
          <t>Factual</t>
        </is>
      </c>
      <c r="C6" s="12" t="inlineStr">
        <is>
          <t>IU01</t>
        </is>
      </c>
      <c r="D6" s="12" t="inlineStr">
        <is>
          <t>What should I consider when selecting a research topic for my project?</t>
        </is>
      </c>
      <c r="E6" s="12" t="inlineStr">
        <is>
          <t>IU01 – Selecting a Research Topic / Scope</t>
        </is>
      </c>
      <c r="F6" s="12" t="inlineStr">
        <is>
          <t>Explain Topic</t>
        </is>
      </c>
      <c r="G6" s="12" t="inlineStr">
        <is>
          <t>When selecting a research topic for your project, there are several key considerations to keep in mind based on the course material chunks provided:
1. **Relevance and Focus**: Choose a research topic that is focused, relevant to the assignment scenario, and connected to a meaningful business or computing problem. Ensure the topic is narrow enough to investigate within the available timeframe.
2. **Accessibility of Evidence**: Make sure that your research topic is supported by accessible evidence. Check access to literature and data related to your chosen topic.
3. **Avoid Broad or Descriptive Topics**: Avoid selecting topics that are extremely broad, purely descriptive, or impossible to investigate with the available data. It's important to narrow down your research focus to a specific area.
4. **Achievability**: Ensure that the research topic you select is achievable within the constraints of your project. Choose a clear area, narrow down the context and problem, and make sure the topic is something you can feasibly investigate.
5. **Connection to Real Problems**: In a computing research project, connect your chosen technology-related topic to a real problem or opportunity. This connection will give your research project purpose and relevance.
By considering these factors when selecting a research topic, you can ensure that your project is well-defined, manageable, and aligned with the goals of your assignment.</t>
        </is>
      </c>
      <c r="H6" s="12" t="inlineStr">
        <is>
          <t>{
  "rank": 1,
  "chunk_id": "LM0103",
  "title": "Selecting a Research Topic",
  "instructional_unit": "IU01 - Project Initiation &amp; Research Topic",
  "document_type": "Learning Material",
  "source_file": "IU01_Project_Initiation_RAG_Learning_Material.docx",
  "distance": 0.8597279787063599,
  "content": "Selecting a Research Topic Select a focused, relevant, and researchable topic. A suitable research topic should be relevant to the assignment scenario, narrow enough to investigate within the available timeframe, supported by accessible evidence, and connected to a meaningful business or computing problem. Avoid topics that are extremely broad, purely descriptive, or impossible to investigate with available data. Broad topic: 'Artificial Intelligence in Retail.' More focused topic: 'The use of AI chatbots to improve response time for common customer enquiries at Jumpstart.' Choose one clear area; narrow the context and problem; check access to literature and data; ensure the topic is achievable.",
  "metadata": {
    "audience": "Learner",
    "source_file": "IU01_Project_Initiation_RAG_Learning_Material.docx",
    "difficulty": "Beginner",
    "instructional_unit": "IU01 - Project Initiation &amp; Research Topic",
    "chunk_id": "LM0103",
    "document_type": "Learning Material",
    "module": "Research Project (CPL)",
    "version": "1.0",
    "course_id": "CPL",
    "title": "Selecting a Research Topic",
    "question": "How do I choose a good research topic?",
    "source": "Official Learning Material",
    "intent": "Explain / Guide",
    "section": "Topic Selection",
    "keywords": "research topic, topic selection, focused topic, researchable topic, scope",
    "topic": "Selecting a Research Topic"
  }
}</t>
        </is>
      </c>
      <c r="I6" s="12" t="inlineStr">
        <is>
          <t>{
  "rank": 2,
  "chunk_id": "LM0101",
  "title": "Understanding a Research Project",
  "instructional_unit": "IU01 - Project Initiation &amp; Research Topic",
  "document_type": "Learning Material",
  "source_file": "IU01_Project_Initiation_RAG_Learning_Material.docx",
  "distance": 0.9376848936080933,
  "content": "Understanding a Research Project Understand the purpose and characteristics of a research project. A research project is a structured investigation of a defined problem or question. It uses evidence, appropriate research methods, analysis, and critical thinking to reach conclusions or recommendations. In a computing research project, the investigation should connect a technology-related topic to a real problem or opportunity. A learner may investigate how AI-driven recommendation systems could improve product discovery for an online fashion retailer. A research project begins with a focused problem; uses evidence rather than opinion; follows a planned process; and ends with findings, conclusions, or recommendations.",
  "metadata": {
    "intent": "Explain / Guide",
    "version": "1.0",
    "module": "Research Project (CPL)",
    "question": "What is a research project?",
    "difficulty": "Beginner",
    "chunk_id": "LM0101",
    "source": "Official Learning Material",
    "source_file": "IU01_Project_Initiation_RAG_Learning_Material.docx",
    "keywords": "research project, computing research, investigation, evidence, research process",
    "audience": "Learner",
    "document_type": "Learning Material",
    "section": "Research Project Fundamentals",
    "course_id": "CPL",
    "instructional_unit": "IU01 - Project Initiation &amp; Research Topic",
    "topic": "Understanding a Research Project",
    "title": "Understanding a Research Project"
  }
}</t>
        </is>
      </c>
      <c r="J6" s="12" t="inlineStr">
        <is>
          <t>{
  "rank": 3,
  "chunk_id": "LM0110",
  "title": "IU01 Learning Check",
  "instructional_unit": "IU01 - Project Initiation &amp; Research Topic",
  "document_type": "Learning Material",
  "source_file": "IU01_Project_Initiation_RAG_Learning_Material.docx",
  "distance": 0.9981439113616943,
  "content": "IU01 Learning Check Consolidate the key decisions required before moving into research methodology and detailed planning. Before progressing, the learner should be able to explain the business context, state a focused research topic and problem, define an aim and objectives, establish the scope, identify key stakeholders, and recognise major constraints, risks, and assumptions. These elements provide the foundation for developing research questions, selecting methodology, and planning the project. A learner studying AI personalization should be able to explain the customer-experience problem being investigated, the intended research outcome, who is affected, and what limitations may influence the study. A strong initiation stage creates alignment between the problem, aim, objectives, scope, stakeholders, and feasibility.",
  "metadata": {
    "question": "What should I have completed before moving to the next research stage?",
    "source": "Official Learning Material",
    "instructional_unit": "IU01 - Project Initiation &amp; Research Topic",
    "keywords": "IU01 summary, project initiation checklist, research foundation, next steps",
    "course_id": "CPL",
    "intent": "Explain / Guide",
    "title": "IU01 Learning Check",
    "chunk_id": "LM0110",
    "section": "IU01 Summary",
    "audience": "Learner",
    "document_type": "Learning Material",
    "version": "1.0",
    "source_file": "IU01_Project_Initiation_RAG_Learning_Material.docx",
    "module": "Research Project (CPL)",
    "difficulty": "Beginner",
    "topic": "IU01 Learning Check"
  }
}</t>
        </is>
      </c>
      <c r="K6" s="12" t="inlineStr">
        <is>
          <t>{
  "rank": 4,
  "chunk_id": "LM0106",
  "title": "Research Scope",
  "instructional_unit": "IU01 - Project Initiation &amp; Research Topic",
  "document_type": "Learning Material",
  "source_file": "IU01_Project_Initiation_RAG_Learning_Material.docx",
  "distance": 1.0051679611206055,
  "content": "Research Scope Define what the research will and will not cover. Research scope establishes the boundaries of the project. It may define the business area, technology, population, data sources, geographic context, timeframe, and issues included or excluded. A clear scope prevents the project from becoming too broad and helps the learner use available time and resources effectively. A project on AI customer support may focus on frequently asked e-commerce questions and exclude in-store staff support, multilingual voice assistants, and full production implementation. Define inclusions and exclusions; connect scope to available time and evidence; keep the study focused enough to complete.",
  "metadata": {
    "keywords": "research scope, boundaries, in scope, out of scope, project scope",
    "audience": "Learner",
    "document_type": "Learning Material",
    "source_file": "IU01_Project_Initiation_RAG_Learning_Material.docx",
    "course_id": "CPL",
    "intent": "Explain / Guide",
    "question": "What should be included in my research scope?",
    "section": "Project Scope",
    "module": "Research Project (CPL)",
    "topic": "Research Scope",
    "instructional_unit": "IU01 - Project Initiation &amp; Research Topic",
    "title": "Research Scope",
    "source": "Official Learning Material",
    "version": "1.0",
    "difficulty": "Beginner",
    "chunk_id": "LM0106"
  }
}</t>
        </is>
      </c>
      <c r="L6" s="12" t="inlineStr">
        <is>
          <t>{
  "rank": 5,
  "chunk_id": "LM0807",
  "title": "Future Research",
  "instructional_unit": "IU08 - Reflection &amp; Future Research",
  "document_type": "Learning Material",
  "source_file": "IU08_Reflection_and_Future_Research_RAG.docx",
  "distance": 1.0723440647125244,
  "content": "Future Research Propose logical next investigations arising from findings and limitations. Future research should extend, test, or address unanswered issues from the current project. Suggestions should be specific and grounded in findings or limitations rather than generic statements such as 'more research is needed'. If the project studied intended chatbot use through a survey, future research could evaluate actual user behaviour during a controlled chatbot pilot. Link future research to identified gaps; specify what should be studied differently or further; explain why it matters.",
  "metadata": {
    "document_type": "Learning Material",
    "question": "What should I recommend for future research?",
    "module": "Research Project (CPL)",
    "title": "Future Research",
    "audience": "Learner",
    "section": "Future Research",
    "topic": "Future Research",
    "intent": "Explain / Guide",
    "keywords": "future research, research gap, further study",
    "instructional_unit": "IU08 - Reflection &amp; Future Research",
    "version": "1.0",
    "difficulty": "Beginner",
    "source_file": "IU08_Reflection_and_Future_Research_RAG.docx",
    "source": "Official Learning Material",
    "course_id": "CPL",
    "chunk_id": "LM0807"
  }
}</t>
        </is>
      </c>
      <c r="M6" s="12" t="inlineStr">
        <is>
          <t>Pass</t>
        </is>
      </c>
      <c r="N6" s="12" t="inlineStr">
        <is>
          <t>Pass</t>
        </is>
      </c>
      <c r="O6" s="12" t="inlineStr">
        <is>
          <t>Pass</t>
        </is>
      </c>
      <c r="P6" s="12" t="inlineStr">
        <is>
          <t>Pass</t>
        </is>
      </c>
      <c r="Q6" s="12" t="inlineStr">
        <is>
          <t>Pass</t>
        </is>
      </c>
      <c r="R6" s="12" t="inlineStr">
        <is>
          <t>Pass</t>
        </is>
      </c>
      <c r="S6" s="12" t="n"/>
      <c r="T6" s="12" t="inlineStr">
        <is>
          <t>Initial run returned OpenAI API 500; retry succeeded.</t>
        </is>
      </c>
    </row>
    <row r="7">
      <c r="A7" s="12" t="inlineStr">
        <is>
          <t>T06</t>
        </is>
      </c>
      <c r="B7" s="12" t="inlineStr">
        <is>
          <t>Explanation</t>
        </is>
      </c>
      <c r="C7" s="12" t="inlineStr">
        <is>
          <t>IU02</t>
        </is>
      </c>
      <c r="D7" s="12" t="inlineStr">
        <is>
          <t>Why do I need a literature review before carrying out my research?</t>
        </is>
      </c>
      <c r="E7" s="12" t="inlineStr">
        <is>
          <t>IU02 – Literature Review</t>
        </is>
      </c>
      <c r="F7" s="12" t="inlineStr">
        <is>
          <t>Explain Topic</t>
        </is>
      </c>
      <c r="G7" s="12" t="inlineStr">
        <is>
          <t>A literature review is essential before carrying out research for several reasons:
1. **Establish Existing Knowledge**: A literature review helps you understand what is already known about your research topic. It allows you to compare findings, identify gaps or limitations in existing knowledge, and provides evidence for the direction of your new study.
2. **Context and Evidence**: By reviewing literature, you can establish the context for your research and gather evidence to support your study. This helps you connect your research to existing knowledge and build a strong foundation for your work.
3. **Critical Comparison**: A literature review involves critical comparison rather than just summarizing articles. It requires evaluating evidence, identifying agreement and disagreement among sources, and explaining how the literature informs your research.
4. **Finding Credible Sources**: Conducting a literature review helps you identify credible sources such as peer-reviewed journal articles, conference papers, academic books, and reputable industry research. This ensures that your research is based on reliable and trustworthy information.
5. **Thematic Organization**: Organizing your literature review around themes or concepts related to your research question helps you maintain a logical flow, compare different perspectives, and draw meaningful conclusions from the existing literature.
In summary, a literature review is crucial before conducting research as it helps you understand existing knowledge, establish context and evidence, critically evaluate sources, find credible information, and organize your review effectively to support your research endeavor.</t>
        </is>
      </c>
      <c r="H7" s="12" t="inlineStr">
        <is>
          <t>{
  "rank": 1,
  "chunk_id": "LM0203",
  "title": "Introduction to Literature Review",
  "instructional_unit": "IU02 - Research Questions &amp; Literature Review",
  "document_type": "Learning Material",
  "source_file": "IU02_Research_Questions_and_Literature_Review_RAG.docx",
  "distance": 0.686463475227356,
  "content": "Introduction to Literature Review Understand the role of a literature review. A literature review examines existing knowledge relevant to the research topic. It establishes what is already known, compares findings and viewpoints, identifies limitations or gaps, and provides evidence for the direction of the new study. It is more than a list of article summaries. A review of AI customer-support research may compare reported effects on response time, customer satisfaction, cost, privacy, and escalation to human agents. Use literature to establish context and evidence; compare sources; connect the review to the research problem.",
  "metadata": {
    "document_type": "Learning Material",
    "keywords": "literature review, existing research, academic evidence",
    "intent": "Explain / Guide",
    "version": "1.0",
    "topic": "Introduction to Literature Review",
    "course_id": "CPL",
    "section": "Literature Review",
    "audience": "Learner",
    "title": "Introduction to Literature Review",
    "module": "Research Project (CPL)",
    "question": "What is a literature review?",
    "source": "Official Learning Material",
    "source_file": "IU02_Research_Questions_and_Literature_Review_RAG.docx",
    "instructional_unit": "IU02 - Research Questions &amp; Literature Review",
    "difficulty": "Beginner",
    "chunk_id": "LM0203"
  }
}</t>
        </is>
      </c>
      <c r="I7" s="12" t="inlineStr">
        <is>
          <t>{
  "rank": 2,
  "chunk_id": "LM0207",
  "title": "Organising a Literature Review",
  "instructional_unit": "IU02 - Research Questions &amp; Literature Review",
  "document_type": "Learning Material",
  "source_file": "IU02_Research_Questions_and_Literature_Review_RAG.docx",
  "distance": 0.8508896827697754,
  "content": "Organising a Literature Review Structure literature logically around themes and the research question. A literature review can be organised by themes, concepts, methods, debates, chronology, or a combination. For a focused computing project, thematic organisation often helps compare technologies, benefits, risks, and evidence across studies. AI chatbot review themes could include service efficiency, customer experience, technical limitations, privacy and ethics, and human escalation. Use meaningful themes; maintain logical flow; link sections to the research question; finish by showing what the literature implies for the study.",
  "metadata": {
    "question": "How should I structure my literature review?",
    "source": "Official Learning Material",
    "section": "Literature Structure",
    "title": "Organising a Literature Review",
    "document_type": "Learning Material",
    "topic": "Organising a Literature Review",
    "difficulty": "Beginner",
    "intent": "Explain / Guide",
    "course_id": "CPL",
    "audience": "Learner",
    "module": "Research Project (CPL)",
    "source_file": "IU02_Research_Questions_and_Literature_Review_RAG.docx",
    "keywords": "literature structure, themes, synthesis",
    "chunk_id": "LM0207",
    "version": "1.0",
    "instructional_unit": "IU02 - Research Questions &amp; Literature Review"
  }
}</t>
        </is>
      </c>
      <c r="J7" s="12" t="inlineStr">
        <is>
          <t>{
  "rank": 3,
  "chunk_id": "LM0205",
  "title": "Critical Literature Review",
  "instructional_unit": "IU02 - Research Questions &amp; Literature Review",
  "document_type": "Learning Material",
  "source_file": "IU02_Research_Questions_and_Literature_Review_RAG.docx",
  "distance": 0.9183710813522339,
  "content": "Critical Literature Review Develop critical comparison rather than descriptive summary. Critical reviewing involves comparing evidence, identifying agreement and disagreement, evaluating methodological strengths and weaknesses, considering context, and explaining how the literature informs the research. A paragraph should synthesize related sources around an idea instead of describing each paper separately. Instead of listing three studies, compare why two studies report improved satisfaction while another reports user frustration, considering sample, context, chatbot capability, and measurement methods. Synthesize rather than list; evaluate evidence; explain differences; relate discussion to the research question.",
  "metadata": {
    "audience": "Learner",
    "module": "Research Project (CPL)",
    "intent": "Explain / Guide",
    "version": "1.0",
    "instructional_unit": "IU02 - Research Questions &amp; Literature Review",
    "keywords": "critical review, synthesis, comparison, evaluation",
    "question": "What does critical analysis mean in a literature review?",
    "title": "Critical Literature Review",
    "difficulty": "Beginner",
    "document_type": "Learning Material",
    "topic": "Critical Literature Review",
    "section": "Critical Review",
    "source": "Official Learning Material",
    "chunk_id": "LM0205",
    "source_file": "IU02_Research_Questions_and_Literature_Review_RAG.docx",
    "course_id": "CPL"
  }
}</t>
        </is>
      </c>
      <c r="K7" s="12" t="inlineStr">
        <is>
          <t>{
  "rank": 4,
  "chunk_id": "LM0204",
  "title": "Finding Credible Sources",
  "instructional_unit": "IU02 - Research Questions &amp; Literature Review",
  "document_type": "Learning Material",
  "source_file": "IU02_Research_Questions_and_Literature_Review_RAG.docx",
  "distance": 1.0892161130905151,
  "content": "Finding Credible Sources Identify suitable evidence for a literature review. Prefer peer-reviewed journal articles, conference papers, academic books, reputable industry research, standards, and official publications. Evaluate authorship, publication date, relevance, evidence quality, methodology, and possible bias. Search using combinations of key concepts and synonyms. For AI personalization, searches might combine 'recommendation systems', 'fashion retail', 'customer experience', 'personalization', and 'e-commerce'. Prioritise credible and relevant sources; use multiple search terms; do not rely on unsupported blogs or promotional claims.",
  "metadata": {
    "module": "Research Project (CPL)",
    "title": "Finding Credible Sources",
    "keywords": "credible sources, journals, peer reviewed, literature search",
    "difficulty": "Beginner",
    "document_type": "Learning Material",
    "course_id": "CPL",
    "chunk_id": "LM0204",
    "question": "Where should I find sources for my literature review?",
    "version": "1.0",
    "audience": "Learner",
    "section": "Source Selection",
    "source_file": "IU02_Research_Questions_and_Literature_Review_RAG.docx",
    "source": "Official Learning Material",
    "intent": "Explain / Guide",
    "instructional_unit": "IU02 - Research Questions &amp; Literature Review",
    "topic": "Finding Credible Sources"
  }
}</t>
        </is>
      </c>
      <c r="L7" s="12" t="inlineStr">
        <is>
          <t>{
  "rank": 5,
  "chunk_id": "LM0209",
  "title": "IU02 Learning Check",
  "instructional_unit": "IU02 - Research Questions &amp; Literature Review",
  "document_type": "Learning Material",
  "source_file": "IU02_Research_Questions_and_Literature_Review_RAG.docx",
  "distance": 1.1082780361175537,
  "content": "IU02 Learning Check Consolidate the foundation for the proposal. Before progressing, the learner should have a focused research question aligned with the problem, aim, and objectives; a set of credible sources; a thematic and critical literature review; and a defensible research gap. The learner should be able to explain what existing research says, where evidence differs or is limited, and how this supports the chosen research question. Research questions and literature should reinforce each other and provide the evidence base for methodology selection.",
  "metadata": {
    "intent": "Explain / Guide",
    "section": "IU02 Summary",
    "version": "1.0",
    "instructional_unit": "IU02 - Research Questions &amp; Literature Review",
    "audience": "Learner",
    "module": "Research Project (CPL)",
    "keywords": "IU02 summary, research question, literature review checklist",
    "document_type": "Learning Material",
    "question": "What should I complete after the literature review stage?",
    "source_file": "IU02_Research_Questions_and_Literature_Review_RAG.docx",
    "course_id": "CPL",
    "topic": "IU02 Learning Check",
    "difficulty": "Beginner",
    "chunk_id": "LM0209",
    "title": "IU02 Learning Check",
    "source": "Official Learning Material"
  }
}</t>
        </is>
      </c>
      <c r="M7" s="12" t="inlineStr">
        <is>
          <t>Pass</t>
        </is>
      </c>
      <c r="N7" s="12" t="inlineStr">
        <is>
          <t>Pass</t>
        </is>
      </c>
      <c r="O7" s="12" t="inlineStr">
        <is>
          <t>Pass</t>
        </is>
      </c>
      <c r="P7" s="12" t="inlineStr">
        <is>
          <t>Pass</t>
        </is>
      </c>
      <c r="Q7" s="12" t="inlineStr">
        <is>
          <t>Pass</t>
        </is>
      </c>
      <c r="R7" s="12" t="inlineStr">
        <is>
          <t>Pass</t>
        </is>
      </c>
      <c r="S7" s="12" t="n"/>
      <c r="T7" s="12" t="n"/>
    </row>
    <row r="8">
      <c r="A8" s="12" t="inlineStr">
        <is>
          <t>T07</t>
        </is>
      </c>
      <c r="B8" s="12" t="inlineStr">
        <is>
          <t>Scenario / Application</t>
        </is>
      </c>
      <c r="C8" s="12" t="inlineStr">
        <is>
          <t>IU03</t>
        </is>
      </c>
      <c r="D8" s="12" t="inlineStr">
        <is>
          <t>I want to understand learners' experiences in detail. Should I use quantitative or qualitative research, and why?</t>
        </is>
      </c>
      <c r="E8" s="12" t="inlineStr">
        <is>
          <t>IU03 – Research Methodologies</t>
        </is>
      </c>
      <c r="F8" s="12" t="inlineStr">
        <is>
          <t>Ask Anything</t>
        </is>
      </c>
      <c r="G8" s="12" t="inlineStr">
        <is>
          <t>To understand learners' experiences in detail, you could consider using qualitative research. Qualitative research is suitable for exploring meanings, experiences, motivations, perceptions, and context using non-numerical data. Common methods include interviews, focus groups, observations, and open-ended responses. This approach can provide depth and context to understand the nuances of learners' experiences.
For example, by interviewing learners or conducting focus groups, you can delve deeper into their perspectives, emotions, and behaviors related to their learning experiences. Through qualitative research, you can uncover rich insights that quantitative data alone may not capture.
In summary, qualitative research is recommended for gaining a detailed understanding of learners' experiences due to its focus on exploring meanings and contexts through non-numerical data collection methods.</t>
        </is>
      </c>
      <c r="H8" s="12" t="inlineStr">
        <is>
          <t>{
  "rank": 1,
  "chunk_id": "LM0306",
  "title": "Mixed Methods Research",
  "instructional_unit": "IU03 - Research Methodologies",
  "document_type": "Learning Material",
  "source_file": "IU03_Research_Methodologies_RAG.docx",
  "distance": 0.8643321990966797,
  "content": "Mixed Methods Research Understand how qualitative and quantitative methods can complement each other. Mixed methods combines qualitative and quantitative evidence within one study. It is useful when numerical patterns alone cannot explain why they occur, or qualitative insights need broader measurement. The researcher should explain how the two forms of evidence will be integrated. A learner could survey customers about chatbot satisfaction and then interview selected participants to explore the reasons behind their ratings. Mixed methods can provide breadth and depth; it requires more planning and resources; integration should be purposeful.",
  "metadata": {
    "instructional_unit": "IU03 - Research Methodologies",
    "question": "What is mixed-method research?",
    "source_file": "IU03_Research_Methodologies_RAG.docx",
    "chunk_id": "LM0306",
    "intent": "Explain / Guide",
    "course_id": "CPL",
    "topic": "Mixed Methods Research",
    "keywords": "mixed methods, qualitative, quantitative, triangulation",
    "audience": "Learner",
    "source": "Official Learning Material",
    "section": "Mixed Methods",
    "difficulty": "Beginner",
    "title": "Mixed Methods Research",
    "module": "Research Project (CPL)",
    "version": "1.0",
    "document_type": "Learning Material"
  }
}</t>
        </is>
      </c>
      <c r="I8" s="12" t="inlineStr">
        <is>
          <t>{
  "rank": 2,
  "chunk_id": "LM0304",
  "title": "Qualitative Research",
  "instructional_unit": "IU03 - Research Methodologies",
  "document_type": "Learning Material",
  "source_file": "IU03_Research_Methodologies_RAG.docx",
  "distance": 0.9079411029815674,
  "content": "Qualitative Research Understand when qualitative research is appropriate. Qualitative research explores meanings, experiences, motivations, perceptions, and context using non-numerical data. Common methods include interviews, focus groups, observations, and open-ended responses. Analysis may involve coding and thematic analysis. Interviewing customer-service staff could reveal why certain customer queries are difficult to automate and what concerns staff have about AI-assisted support. Useful for depth and context; typically uses smaller purposeful samples; findings require systematic interpretation.",
  "metadata": {
    "module": "Research Project (CPL)",
    "difficulty": "Beginner",
    "document_type": "Learning Material",
    "instructional_unit": "IU03 - Research Methodologies",
    "chunk_id": "LM0304",
    "question": "When should I use qualitative research?",
    "source_file": "IU03_Research_Methodologies_RAG.docx",
    "version": "1.0",
    "keywords": "qualitative research, interviews, focus groups, thematic analysis",
    "source": "Official Learning Material",
    "course_id": "CPL",
    "audience": "Learner",
    "title": "Qualitative Research",
    "intent": "Explain / Guide",
    "topic": "Qualitative Research",
    "section": "Qualitative Research"
  }
}</t>
        </is>
      </c>
      <c r="J8" s="12" t="inlineStr">
        <is>
          <t>{
  "rank": 3,
  "chunk_id": "LM0305",
  "title": "Quantitative Research",
  "instructional_unit": "IU03 - Research Methodologies",
  "document_type": "Learning Material",
  "source_file": "IU03_Research_Methodologies_RAG.docx",
  "distance": 0.9129035472869873,
  "content": "Quantitative Research Understand when quantitative research is appropriate. Quantitative research uses numerical data to measure variables, identify patterns, compare groups, or test relationships. Common methods include structured surveys, experiments, system measurements, and analysis of datasets. Results may be summarised using descriptive or inferential statistics. A survey can measure how many customers prefer chatbot support and compare satisfaction ratings across age groups. Useful for measurement and comparison; requires well-designed variables and samples; numerical results still require interpretation.",
  "metadata": {
    "difficulty": "Beginner",
    "version": "1.0",
    "intent": "Explain / Guide",
    "chunk_id": "LM0305",
    "source": "Official Learning Material",
    "instructional_unit": "IU03 - Research Methodologies",
    "topic": "Quantitative Research",
    "module": "Research Project (CPL)",
    "source_file": "IU03_Research_Methodologies_RAG.docx",
    "section": "Quantitative Research",
    "keywords": "quantitative research, survey, numerical data, statistics",
    "course_id": "CPL",
    "title": "Quantitative Research",
    "document_type": "Learning Material",
    "question": "When should I use quantitative research?",
    "audience": "Learner"
  }
}</t>
        </is>
      </c>
      <c r="K8" s="12" t="inlineStr">
        <is>
          <t>{
  "rank": 4,
  "chunk_id": "LM0602",
  "title": "Quantitative Data Analysis",
  "instructional_unit": "IU06 - Data Analysis &amp; Interpretation",
  "document_type": "Learning Material",
  "source_file": "IU06_Data_Analysis_and_Interpretation_RAG.docx",
  "distance": 0.9655202031135559,
  "content": "Quantitative Data Analysis Analyse numerical research data appropriately. Quantitative analysis may use frequencies, percentages, averages, distributions, cross-tabulations, charts, or appropriate statistical tests. The goal is to describe patterns or evaluate relationships without overstating what the data proves. If 65 of 100 respondents prefer chatbot support for order tracking, the learner can report 65% and compare preferences across relevant participant groups where justified. Select calculations that answer the objective; present numbers clearly; distinguish description from causal claims.",
  "metadata": {
    "question": "How do I analyse quantitative data?",
    "source_file": "IU06_Data_Analysis_and_Interpretation_RAG.docx",
    "title": "Quantitative Data Analysis",
    "intent": "Explain / Guide",
    "keywords": "quantitative analysis, percentage, mean, statistics, survey data",
    "document_type": "Learning Material",
    "module": "Research Project (CPL)",
    "section": "Quantitative Analysis",
    "version": "1.0",
    "chunk_id": "LM0602",
    "topic": "Quantitative Data Analysis",
    "course_id": "CPL",
    "source": "Official Learning Material",
    "audience": "Learner",
    "difficulty": "Beginner",
    "instructional_unit": "IU06 - Data Analysis &amp; Interpretation"
  }
}</t>
        </is>
      </c>
      <c r="L8" s="12" t="inlineStr">
        <is>
          <t>{
  "rank": 5,
  "chunk_id": "LM0501",
  "title": "Primary Research",
  "instructional_unit": "IU05 - Primary &amp; Secondary Research",
  "document_type": "Learning Material",
  "source_file": "IU05_Primary_and_Secondary_Research_RAG.docx",
  "distance": 1.0049844980239868,
  "content": "Primary Research Understand when and why to collect original research data. Primary research collects new data specifically to answer the current research question. Common methods include questionnaires, interviews, focus groups, observations, experiments, and system tests. The method should match the type of evidence required and be feasible and ethical. A learner researching automated customer support could survey customers about support preferences or interview support staff about repetitive enquiries. Primary research is created for the current study; select methods based on the question; plan access and ethics before collection.",
  "metadata": {
    "intent": "Explain / Guide",
    "source_file": "IU05_Primary_and_Secondary_Research_RAG.docx",
    "title": "Primary Research",
    "instructional_unit": "IU05 - Primary &amp; Secondary Research",
    "source": "Official Learning Material",
    "difficulty": "Beginner",
    "version": "1.0",
    "module": "Research Project (CPL)",
    "document_type": "Learning Material",
    "audience": "Learner",
    "question": "What is primary research?",
    "section": "Primary Research",
    "chunk_id": "LM0501",
    "topic": "Primary Research",
    "course_id": "CPL",
    "keywords": "primary research, original data, survey, interview"
  }
}</t>
        </is>
      </c>
      <c r="M8" s="12" t="inlineStr">
        <is>
          <t>Pass</t>
        </is>
      </c>
      <c r="N8" s="12" t="inlineStr">
        <is>
          <t>Pass</t>
        </is>
      </c>
      <c r="O8" s="12" t="inlineStr">
        <is>
          <t>Pass</t>
        </is>
      </c>
      <c r="P8" s="12" t="inlineStr">
        <is>
          <t>Pass</t>
        </is>
      </c>
      <c r="Q8" s="12" t="inlineStr">
        <is>
          <t>Pass</t>
        </is>
      </c>
      <c r="R8" s="12" t="inlineStr">
        <is>
          <t>Pass</t>
        </is>
      </c>
      <c r="S8" s="12" t="n"/>
      <c r="T8" s="12" t="n"/>
    </row>
    <row r="9">
      <c r="A9" s="12" t="inlineStr">
        <is>
          <t>T08</t>
        </is>
      </c>
      <c r="B9" s="12" t="inlineStr">
        <is>
          <t>Scenario / Application</t>
        </is>
      </c>
      <c r="C9" s="12" t="inlineStr">
        <is>
          <t>IU05</t>
        </is>
      </c>
      <c r="D9" s="12" t="inlineStr">
        <is>
          <t>I collected survey responses and also used websites and reports. Which is primary research and which is secondary research?</t>
        </is>
      </c>
      <c r="E9" s="12" t="inlineStr">
        <is>
          <t>IU05 – Primary &amp; Secondary Research</t>
        </is>
      </c>
      <c r="F9" s="12" t="inlineStr">
        <is>
          <t>Explain Topic</t>
        </is>
      </c>
      <c r="G9" s="12" t="inlineStr">
        <is>
          <t>Based on the information provided in the course materials, collecting survey responses would be considered primary research, as it involves collecting new data specifically for the current project. On the other hand, using websites and reports would be classified as secondary research, as it involves analyzing existing information that has already been collected for another purpose or context.
Therefore, in your case, collecting survey responses would fall under primary research, while using websites and reports would fall under secondary research. It's important to note that many research projects often use a combination of both primary and secondary research to strengthen the overall study.</t>
        </is>
      </c>
      <c r="H9" s="12" t="inlineStr">
        <is>
          <t>{
  "rank": 1,
  "chunk_id": "LM0307",
  "title": "Primary and Secondary Research",
  "instructional_unit": "IU03 - Research Methodologies",
  "document_type": "Learning Material",
  "source_file": "IU03_Research_Methodologies_RAG.docx",
  "distance": 0.6100755929946899,
  "content": "Primary and Secondary Research Distinguish original data collection from existing evidence. Primary research collects new data specifically for the current project, such as surveys, interviews, observations, or experiments. Secondary research analyses information that already exists, such as journal articles, reports, datasets, case studies, and official statistics. Many research projects use both. A customer survey is primary research; analysing published studies on retail recommendation systems is secondary research. Primary data is collected for the current study; secondary evidence already exists; both should be selected based on the research question.",
  "metadata": {
    "topic": "Primary and Secondary Research",
    "source": "Official Learning Material",
    "audience": "Learner",
    "module": "Research Project (CPL)",
    "question": "What is the difference between primary and secondary research?",
    "version": "1.0",
    "source_file": "IU03_Research_Methodologies_RAG.docx",
    "title": "Primary and Secondary Research",
    "chunk_id": "LM0307",
    "intent": "Explain / Guide",
    "document_type": "Learning Material",
    "section": "Primary Secondary Research",
    "difficulty": "Beginner",
    "course_id": "CPL",
    "keywords": "primary research, secondary research, data collection",
    "instructional_unit": "IU03 - Research Methodologies"
  }
}</t>
        </is>
      </c>
      <c r="I9" s="12" t="inlineStr">
        <is>
          <t>{
  "rank": 2,
  "chunk_id": "LM0509",
  "title": "Primary vs Secondary Research: Strengths and Limitations",
  "instructional_unit": "IU05 - Primary &amp; Secondary Research",
  "document_type": "Learning Material",
  "source_file": "IU05_Primary_and_Secondary_Research_RAG.docx",
  "distance": 0.8015438318252563,
  "content": "Primary vs Secondary Research: Strengths and Limitations Critically compare evidence sources rather than treating one as automatically superior. Primary research can be tailored to the research question and current context but may require significant time, access, skills, and ethical planning. Secondary research is usually faster and provides broader existing knowledge, but the data may have been collected for another purpose or context. Combining both can strengthen a project when their roles are clearly defined. A learner may use published studies to understand AI personalization generally and a small customer survey to explore attitudes relevant to the assignment context. Choose evidence based on purpose; discuss practical and methodological trade-offs; combine sources when this improves the answer to the research question.",
  "metadata": {
    "title": "Primary vs Secondary Research: Strengths and Limitations",
    "section": "Method Comparison",
    "topic": "Primary vs Secondary Research: Strengths and Limitations",
    "chunk_id": "LM0509",
    "document_type": "Learning Material",
    "intent": "Explain / Guide",
    "instructional_unit": "IU05 - Primary &amp; Secondary Research",
    "difficulty": "Beginner",
    "version": "1.0",
    "keywords": "primary vs secondary research, advantages, disadvantages, research methods",
    "source": "Official Learning Material",
    "course_id": "CPL",
    "module": "Research Project (CPL)",
    "audience": "Learner",
    "source_file": "IU05_Primary_and_Secondary_Research_RAG.docx",
    "question": "Should I use primary or secondary research?"
  }
}</t>
        </is>
      </c>
      <c r="J9" s="12" t="inlineStr">
        <is>
          <t>{
  "rank": 3,
  "chunk_id": "LM0502",
  "title": "Secondary Research",
  "instructional_unit": "IU05 - Primary &amp; Secondary Research",
  "document_type": "Learning Material",
  "source_file": "IU05_Primary_and_Secondary_Research_RAG.docx",
  "distance": 0.8285430669784546,
  "content": "Secondary Research Use existing evidence systematically and critically. Secondary research uses information that already exists, including journal articles, conference papers, books, official statistics, industry reports, organisational records, public datasets, and credible case studies. Sources should be evaluated for relevance, authority, currency, methodology, and bias. A fraud-detection project might review academic studies, financial-industry reports, and published transaction-fraud datasets. Secondary evidence can establish context and benchmarks; evaluate source quality; do not treat all online information as equally reliable.",
  "metadata": {
    "instructional_unit": "IU05 - Primary &amp; Secondary Research",
    "module": "Research Project (CPL)",
    "source": "Official Learning Material",
    "audience": "Learner",
    "section": "Secondary Research",
    "keywords": "secondary research, existing data, journals, reports, datasets",
    "document_type": "Learning Material",
    "version": "1.0",
    "source_file": "IU05_Primary_and_Secondary_Research_RAG.docx",
    "title": "Secondary Research",
    "chunk_id": "LM0502",
    "topic": "Secondary Research",
    "question": "What is secondary research?",
    "intent": "Explain / Guide",
    "course_id": "CPL",
    "difficulty": "Beginner"
  }
}</t>
        </is>
      </c>
      <c r="K9" s="12" t="inlineStr">
        <is>
          <t>{
  "rank": 4,
  "chunk_id": "LM0501",
  "title": "Primary Research",
  "instructional_unit": "IU05 - Primary &amp; Secondary Research",
  "document_type": "Learning Material",
  "source_file": "IU05_Primary_and_Secondary_Research_RAG.docx",
  "distance": 0.8386426568031311,
  "content": "Primary Research Understand when and why to collect original research data. Primary research collects new data specifically to answer the current research question. Common methods include questionnaires, interviews, focus groups, observations, experiments, and system tests. The method should match the type of evidence required and be feasible and ethical. A learner researching automated customer support could survey customers about support preferences or interview support staff about repetitive enquiries. Primary research is created for the current study; select methods based on the question; plan access and ethics before collection.",
  "metadata": {
    "instructional_unit": "IU05 - Primary &amp; Secondary Research",
    "keywords": "primary research, original data, survey, interview",
    "title": "Primary Research",
    "section": "Primary Research",
    "module": "Research Project (CPL)",
    "topic": "Primary Research",
    "intent": "Explain / Guide",
    "source_file": "IU05_Primary_and_Secondary_Research_RAG.docx",
    "source": "Official Learning Material",
    "chunk_id": "LM0501",
    "difficulty": "Beginner",
    "audience": "Learner",
    "course_id": "CPL",
    "version": "1.0",
    "question": "What is primary research?",
    "document_type": "Learning Material"
  }
}</t>
        </is>
      </c>
      <c r="L9" s="12" t="inlineStr">
        <is>
          <t>{
  "rank": 5,
  "chunk_id": "LM0806",
  "title": "Alternative Research Methodologies",
  "instructional_unit": "IU08 - Reflection &amp; Future Research",
  "document_type": "Learning Material",
  "source_file": "IU08_Reflection_and_Future_Research_RAG.docx",
  "distance": 1.0904680490493774,
  "content": "Alternative Research Methodologies Consider credible approaches that could have been used instead. Critical reflection can compare the chosen methodology with realistic alternatives. The learner should explain what additional or different evidence an alternative might provide, along with its own costs and limitations. A survey-only study could be compared with mixed methods: follow-up interviews might explain survey patterns, but would require more time, recruitment, transcription, and qualitative analysis. Compare alternatives fairly; explain potential benefit and trade-offs; avoid claiming an alternative would automatically be better.",
  "metadata": {
    "section": "Alternative Methods",
    "difficulty": "Beginner",
    "source": "Official Learning Material",
    "keywords": "alternative methodology, mixed methods, research design, trade-offs",
    "chunk_id": "LM0806",
    "audience": "Learner",
    "course_id": "CPL",
    "document_type": "Learning Material",
    "source_file": "IU08_Reflection_and_Future_Research_RAG.docx",
    "module": "Research Project (CPL)",
    "instructional_unit": "IU08 - Reflection &amp; Future Research",
    "version": "1.0",
    "topic": "Alternative Research Methodologies",
    "intent": "Explain / Guide",
    "title": "Alternative Research Methodologies",
    "question": "How do I discuss alternative research methodologies?"
  }
}</t>
        </is>
      </c>
      <c r="M9" s="12" t="inlineStr">
        <is>
          <t>Pass</t>
        </is>
      </c>
      <c r="N9" s="12" t="inlineStr">
        <is>
          <t>Pass</t>
        </is>
      </c>
      <c r="O9" s="12" t="inlineStr">
        <is>
          <t>Pass</t>
        </is>
      </c>
      <c r="P9" s="12" t="inlineStr">
        <is>
          <t>Pass</t>
        </is>
      </c>
      <c r="Q9" s="12" t="inlineStr">
        <is>
          <t>Pass</t>
        </is>
      </c>
      <c r="R9" s="12" t="inlineStr">
        <is>
          <t>Pass</t>
        </is>
      </c>
      <c r="S9" s="12" t="n"/>
      <c r="T9" s="12" t="n"/>
    </row>
    <row r="10">
      <c r="A10" s="12" t="inlineStr">
        <is>
          <t>T09</t>
        </is>
      </c>
      <c r="B10" s="12" t="inlineStr">
        <is>
          <t>Scenario / Application</t>
        </is>
      </c>
      <c r="C10" s="12" t="inlineStr">
        <is>
          <t>IU06</t>
        </is>
      </c>
      <c r="D10" s="12" t="inlineStr">
        <is>
          <t>I have collected my survey data. What should I do before I start writing my findings?</t>
        </is>
      </c>
      <c r="E10" s="12" t="inlineStr">
        <is>
          <t>IU06 – Data Analysis &amp; Interpretation</t>
        </is>
      </c>
      <c r="F10" s="12" t="inlineStr">
        <is>
          <t>Ask Anything</t>
        </is>
      </c>
      <c r="G10" s="12" t="inlineStr">
        <is>
          <t>Before you start writing your findings based on your survey data, there are some important steps you should take to prepare the data for analysis. Here are the key actions you should consider:
1. Check Data Completeness: Ensure that all necessary data fields are filled in and there are no missing values that could affect your analysis.
2. Correct Entry Errors: Address any obvious errors in data entry that can be justified and corrected.
3. Handle Duplicates: Identify and handle any duplicate entries in your dataset to avoid skewing your results.
4. Apply Consistent Coding: If your survey data includes different categories or responses, ensure that they are coded consistently for analysis.
5. Anonymize Data: If required, anonymize the data to protect participant confidentiality and privacy.
6. Document Decisions: Keep a record of the decisions you make during the data preparation process to maintain traceability in your analysis.
By following these steps, you can ensure that your survey data is well-prepared for analysis, which will ultimately help you in writing clear and accurate research findings based on your data.</t>
        </is>
      </c>
      <c r="H10" s="12" t="inlineStr">
        <is>
          <t>{
  "rank": 1,
  "chunk_id": "LM0510",
  "title": "Preparing Data for Analysis",
  "instructional_unit": "IU05 - Primary &amp; Secondary Research",
  "document_type": "Learning Material",
  "source_file": "IU05_Primary_and_Secondary_Research_RAG.docx",
  "distance": 0.8524363040924072,
  "content": "Preparing Data for Analysis Organise collected evidence before formal analysis. Before analysis, researchers should check data completeness, correct obvious entry errors where justified, handle duplicates, apply consistent coding, anonymise data where required, and document decisions. Qualitative recordings may need transcription and anonymisation; survey data may need coding into consistent categories. A five-point satisfaction scale can be coded consistently from 1 to 5, while interview transcripts can replace participant names with anonymous identifiers. Preserve raw evidence; clean systematically; anonymise where needed; document transformations so analysis remains traceable.",
  "metadata": {
    "intent": "Explain / Guide",
    "instructional_unit": "IU05 - Primary &amp; Secondary Research",
    "course_id": "CPL",
    "keywords": "data cleaning, coding, anonymisation, data preparation",
    "source_file": "IU05_Primary_and_Secondary_Research_RAG.docx",
    "question": "What should I do with my data before analysing it?",
    "audience": "Learner",
    "topic": "Preparing Data for Analysis",
    "section": "Data Preparation",
    "chunk_id": "LM0510",
    "difficulty": "Beginner",
    "title": "Preparing Data for Analysis",
    "document_type": "Learning Material",
    "source": "Official Learning Material",
    "version": "1.0",
    "module": "Research Project (CPL)"
  }
}</t>
        </is>
      </c>
      <c r="I10" s="12" t="inlineStr">
        <is>
          <t>{
  "rank": 2,
  "chunk_id": "LM0701",
  "title": "Research Findings",
  "instructional_unit": "IU07 - Research Findings &amp; Recommendations",
  "document_type": "Learning Material",
  "source_file": "IU07_Research_Findings_and_Recommendations_RAG.docx",
  "distance": 0.9787955284118652,
  "content": "Research Findings Understand how to communicate the main results of a research project. Research findings are the evidence-based results produced by the analysis. They should be organised around the research objectives or major themes, clearly distinguish results from opinion, and include appropriate tables, charts, or qualitative evidence where useful. A finding may state that most surveyed participants prefer automated support for simple order-status questions but prefer human assistance for complaints. Report what the evidence shows; organise around objectives; avoid introducing unsupported claims.",
  "metadata": {
    "module": "Research Project (CPL)",
    "section": "Findings",
    "chunk_id": "LM0701",
    "keywords": "research findings, results, evidence, objectives",
    "intent": "Explain / Guide",
    "topic": "Research Findings",
    "title": "Research Findings",
    "document_type": "Learning Material",
    "course_id": "CPL",
    "instructional_unit": "IU07 - Research Findings &amp; Recommendations",
    "source_file": "IU07_Research_Findings_and_Recommendations_RAG.docx",
    "source": "Official Learning Material",
    "version": "1.0",
    "difficulty": "Beginner",
    "question": "What are research findings?",
    "audience": "Learner"
  }
}</t>
        </is>
      </c>
      <c r="J10" s="12" t="inlineStr">
        <is>
          <t>{
  "rank": 3,
  "chunk_id": "LM0703",
  "title": "Discussion of Findings",
  "instructional_unit": "IU07 - Research Findings &amp; Recommendations",
  "document_type": "Learning Material",
  "source_file": "IU07_Research_Findings_and_Recommendations_RAG.docx",
  "distance": 1.0729790925979614,
  "content": "Discussion of Findings Critically discuss what the results mean. Discussion interprets the significance of findings and compares them with literature, theory, expectations, and the business context. It should explore why findings may agree or disagree with previous research and consider limitations or alternative explanations. If literature predicts strong chatbot acceptance but participants prefer human support for complex issues, discuss whether task complexity or trust explains the difference. Discussion is interpretation, not repetition; compare with literature; explain significance and uncertainty.",
  "metadata": {
    "source_file": "IU07_Research_Findings_and_Recommendations_RAG.docx",
    "document_type": "Learning Material",
    "version": "1.0",
    "question": "How do I discuss my research findings?",
    "topic": "Discussion of Findings",
    "keywords": "discussion, literature comparison, interpretation, significance",
    "section": "Discussion",
    "source": "Official Learning Material",
    "course_id": "CPL",
    "module": "Research Project (CPL)",
    "instructional_unit": "IU07 - Research Findings &amp; Recommendations",
    "chunk_id": "LM0703",
    "title": "Discussion of Findings",
    "difficulty": "Beginner",
    "intent": "Explain / Guide",
    "audience": "Learner"
  }
}</t>
        </is>
      </c>
      <c r="K10" s="12" t="inlineStr">
        <is>
          <t>{
  "rank": 4,
  "chunk_id": "LM0602",
  "title": "Quantitative Data Analysis",
  "instructional_unit": "IU06 - Data Analysis &amp; Interpretation",
  "document_type": "Learning Material",
  "source_file": "IU06_Data_Analysis_and_Interpretation_RAG.docx",
  "distance": 1.136266827583313,
  "content": "Quantitative Data Analysis Analyse numerical research data appropriately. Quantitative analysis may use frequencies, percentages, averages, distributions, cross-tabulations, charts, or appropriate statistical tests. The goal is to describe patterns or evaluate relationships without overstating what the data proves. If 65 of 100 respondents prefer chatbot support for order tracking, the learner can report 65% and compare preferences across relevant participant groups where justified. Select calculations that answer the objective; present numbers clearly; distinguish description from causal claims.",
  "metadata": {
    "intent": "Explain / Guide",
    "document_type": "Learning Material",
    "topic": "Quantitative Data Analysis",
    "difficulty": "Beginner",
    "title": "Quantitative Data Analysis",
    "source_file": "IU06_Data_Analysis_and_Interpretation_RAG.docx",
    "audience": "Learner",
    "chunk_id": "LM0602",
    "section": "Quantitative Analysis",
    "version": "1.0",
    "course_id": "CPL",
    "module": "Research Project (CPL)",
    "keywords": "quantitative analysis, percentage, mean, statistics, survey data",
    "source": "Official Learning Material",
    "question": "How do I analyse quantitative data?",
    "instructional_unit": "IU06 - Data Analysis &amp; Interpretation"
  }
}</t>
        </is>
      </c>
      <c r="L10" s="12" t="inlineStr">
        <is>
          <t>{
  "rank": 5,
  "chunk_id": "LM0506",
  "title": "Informed Consent and Participant Ethics",
  "instructional_unit": "IU05 - Primary &amp; Secondary Research",
  "document_type": "Learning Material",
  "source_file": "IU05_Primary_and_Secondary_Research_RAG.docx",
  "distance": 1.1379640102386475,
  "content": "Informed Consent and Participant Ethics Protect participants throughout data collection. Participants should understand the purpose of the research, what participation involves, how their data will be used, any foreseeable risks, whether participation is voluntary, and how they can withdraw where applicable. Avoid collecting unnecessary personal or sensitive information and follow institutional requirements. A survey introduction can state the research purpose, approximate completion time, voluntary nature of participation, data use, confidentiality approach, and researcher contact information. Consent should be informed and voluntary; minimise data collection; protect confidentiality; follow applicable policy.",
  "metadata": {
    "question": "What consent information should I give research participants?",
    "course_id": "CPL",
    "chunk_id": "LM0506",
    "source_file": "IU05_Primary_and_Secondary_Research_RAG.docx",
    "keywords": "informed consent, participant ethics, confidentiality, privacy",
    "intent": "Explain / Guide",
    "source": "Official Learning Material",
    "document_type": "Learning Material",
    "version": "1.0",
    "audience": "Learner",
    "difficulty": "Beginner",
    "instructional_unit": "IU05 - Primary &amp; Secondary Research",
    "section": "Research Ethics",
    "module": "Research Project (CPL)",
    "title": "Informed Consent and Participant Ethics",
    "topic": "Informed Consent and Participant Ethics"
  }
}</t>
        </is>
      </c>
      <c r="M10" s="12" t="inlineStr">
        <is>
          <t>Pass</t>
        </is>
      </c>
      <c r="N10" s="12" t="inlineStr">
        <is>
          <t>Pass</t>
        </is>
      </c>
      <c r="O10" s="12" t="inlineStr">
        <is>
          <t>Pass</t>
        </is>
      </c>
      <c r="P10" s="12" t="inlineStr">
        <is>
          <t>Pass</t>
        </is>
      </c>
      <c r="Q10" s="12" t="inlineStr">
        <is>
          <t>Pass</t>
        </is>
      </c>
      <c r="R10" s="12" t="inlineStr">
        <is>
          <t>Pass</t>
        </is>
      </c>
      <c r="S10" s="12" t="n"/>
      <c r="T10" s="12" t="inlineStr">
        <is>
          <t>Initial run returned OpenAI API 500; retry succeeded.</t>
        </is>
      </c>
    </row>
    <row r="11">
      <c r="A11" s="12" t="inlineStr">
        <is>
          <t>T10</t>
        </is>
      </c>
      <c r="B11" s="12" t="inlineStr">
        <is>
          <t>Explanation / Application</t>
        </is>
      </c>
      <c r="C11" s="12" t="inlineStr">
        <is>
          <t>IU07</t>
        </is>
      </c>
      <c r="D11" s="12" t="inlineStr">
        <is>
          <t>What is the difference between a research finding and a recommendation?</t>
        </is>
      </c>
      <c r="E11" s="12" t="inlineStr">
        <is>
          <t>IU07 – Findings &amp; Recommendations</t>
        </is>
      </c>
      <c r="F11" s="12" t="inlineStr">
        <is>
          <t>Explain Topic</t>
        </is>
      </c>
      <c r="G11" s="12" t="inlineStr">
        <is>
          <t>ERROR: RuntimeError: OpenAI API error: The server had an error while processing your request. Sorry about that! {
  "error": {
    "message": "The server had an error while processing your request. Sorry about that!",
    "type": "server_error",
    "param": null,
    "code": null
  }
} 500 {'error': {'message': 'The server had an error while processing your request. Sorry about that!', 'type': 'server_error', 'param': None, 'code': None}} {'Date': 'Mon, 10 Aug 2026 13:54:01 GMT', 'Content-Type': 'application/json', 'Content-Length': '175', 'Connection': 'keep-alive', 'CF-Ray': 'a28f7d723c818961-BKK', 'CF-Cache-Status': 'DYNAMIC', 'Server': 'cloudflare', 'Strict-Transport-Security': 'max-age=31536000; includeSubDomains; preload', 'X-Content-Type-Options': 'nosniff', 'access-control-expose-headers': 'X-Request-ID, CF-Ray, CF-Ray', 'openai-organization': 'sfuss', 'openai-processing-ms': '414', 'openai-project': 'proj_VYaymp8FG7Pw91DQXrWrjVWj', 'openai-version': '2020-10-01', 'x-openai-proxy-wasm': 'v0.1', 'x-ratelimit-limit-requests': '10000', 'x-ratelimit-limit-tokens': '200000', 'x-ratelimit-remaining-requests': '9991', 'x-ratelimit-remaining-tokens': '198604', 'x-ratelimit-reset-requests': '1m14.123s', 'x-ratelimit-reset-tokens': '418ms', 'x-request-id': 'req_5586c91030fb41df8067460b41de7770', 'alt-svc': 'h3=":443"; ma=86400'}</t>
        </is>
      </c>
      <c r="H11" s="12" t="inlineStr">
        <is>
          <t>{
  "rank": 1,
  "chunk_id": "LM0705",
  "title": "Evidence-Based Recommendations",
  "instructional_unit": "IU07 - Research Findings &amp; Recommendations",
  "document_type": "Learning Material",
  "source_file": "IU07_Research_Findings_and_Recommendations_RAG.docx",
  "distance": 0.9088524580001831,
  "content": "Evidence-Based Recommendations Develop recommendations that follow logically from research evidence. A recommendation proposes an action supported by the findings and relevant literature. It should explain what should be done, why the evidence supports it, who may be involved, and important conditions or limitations. Recommendations should not introduce solutions that were never investigated. If evidence shows customers accept automation for FAQs but not complaints, recommend a limited chatbot for routine enquiries with escalation to human agents. Recommendations must follow from evidence; make them specific and practical; connect actions to findings.",
  "metadata": {
    "intent": "Explain / Guide",
    "chunk_id": "LM0705",
    "instructional_unit": "IU07 - Research Findings &amp; Recommendations",
    "source_file": "IU07_Research_Findings_and_Recommendations_RAG.docx",
    "question": "How do I write evidence-based recommendations?",
    "document_type": "Learning Material",
    "version": "1.0",
    "course_id": "CPL",
    "topic": "Evidence-Based Recommendations",
    "module": "Research Project (CPL)",
    "title": "Evidence-Based Recommendations",
    "difficulty": "Beginner",
    "audience": "Learner",
    "keywords": "recommendations, evidence based, findings, action",
    "source": "Official Learning Material",
    "section": "Recommendations"
  }
}</t>
        </is>
      </c>
      <c r="I11" s="12" t="inlineStr">
        <is>
          <t>{
  "rank": 2,
  "chunk_id": "LM0701",
  "title": "Research Findings",
  "instructional_unit": "IU07 - Research Findings &amp; Recommendations",
  "document_type": "Learning Material",
  "source_file": "IU07_Research_Findings_and_Recommendations_RAG.docx",
  "distance": 0.9415738582611084,
  "content": "Research Findings Understand how to communicate the main results of a research project. Research findings are the evidence-based results produced by the analysis. They should be organised around the research objectives or major themes, clearly distinguish results from opinion, and include appropriate tables, charts, or qualitative evidence where useful. A finding may state that most surveyed participants prefer automated support for simple order-status questions but prefer human assistance for complaints. Report what the evidence shows; organise around objectives; avoid introducing unsupported claims.",
  "metadata": {
    "document_type": "Learning Material",
    "difficulty": "Beginner",
    "course_id": "CPL",
    "topic": "Research Findings",
    "section": "Findings",
    "chunk_id": "LM0701",
    "title": "Research Findings",
    "source": "Official Learning Material",
    "module": "Research Project (CPL)",
    "instructional_unit": "IU07 - Research Findings &amp; Recommendations",
    "question": "What are research findings?",
    "intent": "Explain / Guide",
    "source_file": "IU07_Research_Findings_and_Recommendations_RAG.docx",
    "audience": "Learner",
    "keywords": "research findings, results, evidence, objectives",
    "version": "1.0"
  }
}</t>
        </is>
      </c>
      <c r="J11" s="12" t="inlineStr">
        <is>
          <t>{
  "rank": 3,
  "chunk_id": "LM0101",
  "title": "Understanding a Research Project",
  "instructional_unit": "IU01 - Project Initiation &amp; Research Topic",
  "document_type": "Learning Material",
  "source_file": "IU01_Project_Initiation_RAG_Learning_Material.docx",
  "distance": 0.9746628999710083,
  "content": "Understanding a Research Project Understand the purpose and characteristics of a research project. A research project is a structured investigation of a defined problem or question. It uses evidence, appropriate research methods, analysis, and critical thinking to reach conclusions or recommendations. In a computing research project, the investigation should connect a technology-related topic to a real problem or opportunity. A learner may investigate how AI-driven recommendation systems could improve product discovery for an online fashion retailer. A research project begins with a focused problem; uses evidence rather than opinion; follows a planned process; and ends with findings, conclusions, or recommendations.",
  "metadata": {
    "source": "Official Learning Material",
    "question": "What is a research project?",
    "title": "Understanding a Research Project",
    "topic": "Understanding a Research Project",
    "intent": "Explain / Guide",
    "audience": "Learner",
    "document_type": "Learning Material",
    "chunk_id": "LM0101",
    "module": "Research Project (CPL)",
    "course_id": "CPL",
    "version": "1.0",
    "keywords": "research project, computing research, investigation, evidence, research process",
    "difficulty": "Beginner",
    "instructional_unit": "IU01 - Project Initiation &amp; Research Topic",
    "source_file": "IU01_Project_Initiation_RAG_Learning_Material.docx",
    "section": "Research Project Fundamentals"
  }
}</t>
        </is>
      </c>
      <c r="K11" s="12" t="inlineStr">
        <is>
          <t>{
  "rank": 4,
  "chunk_id": "LM0307",
  "title": "Primary and Secondary Research",
  "instructional_unit": "IU03 - Research Methodologies",
  "document_type": "Learning Material",
  "source_file": "IU03_Research_Methodologies_RAG.docx",
  "distance": 1.100480079650879,
  "content": "Primary and Secondary Research Distinguish original data collection from existing evidence. Primary research collects new data specifically for the current project, such as surveys, interviews, observations, or experiments. Secondary research analyses information that already exists, such as journal articles, reports, datasets, case studies, and official statistics. Many research projects use both. A customer survey is primary research; analysing published studies on retail recommendation systems is secondary research. Primary data is collected for the current study; secondary evidence already exists; both should be selected based on the research question.",
  "metadata": {
    "intent": "Explain / Guide",
    "instructional_unit": "IU03 - Research Methodologies",
    "section": "Primary Secondary Research",
    "chunk_id": "LM0307",
    "course_id": "CPL",
    "topic": "Primary and Secondary Research",
    "document_type": "Learning Material",
    "version": "1.0",
    "difficulty": "Beginner",
    "keywords": "primary research, secondary research, data collection",
    "audience": "Learner",
    "source_file": "IU03_Research_Methodologies_RAG.docx",
    "title": "Primary and Secondary Research",
    "source": "Official Learning Material",
    "question": "What is the difference between primary and secondary research?",
    "module": "Research Project (CPL)"
  }
}</t>
        </is>
      </c>
      <c r="L11" s="12" t="inlineStr">
        <is>
          <t>{
  "rank": 5,
  "chunk_id": "LM0709",
  "title": "Research Conclusion",
  "instructional_unit": "IU07 - Research Findings &amp; Recommendations",
  "document_type": "Learning Material",
  "source_file": "IU07_Research_Findings_and_Recommendations_RAG.docx",
  "distance": 1.1163084506988525,
  "content": "Research Conclusion Write a conclusion that directly answers the research question. The conclusion synthesises the most important findings and states what the research supports in relation to the question and objectives. It should not introduce new evidence. The strength of the conclusion should match the quality and scope of the evidence. A conclusion may state that the evidence supports a hybrid AI customer-support approach for routine enquiries while retaining human support for complex cases. Answer the research question; synthesise rather than repeat; do not add new evidence; acknowledge important boundaries.",
  "metadata": {
    "title": "Research Conclusion",
    "topic": "Research Conclusion",
    "instructional_unit": "IU07 - Research Findings &amp; Recommendations",
    "version": "1.0",
    "document_type": "Learning Material",
    "course_id": "CPL",
    "question": "How do I write my research conclusion?",
    "keywords": "conclusion, research question, findings, synthesis",
    "section": "Conclusion",
    "difficulty": "Beginner",
    "chunk_id": "LM0709",
    "module": "Research Project (CPL)",
    "intent": "Explain / Guide",
    "source": "Official Learning Material",
    "audience": "Learner",
    "source_file": "IU07_Research_Findings_and_Recommendations_RAG.docx"
  }
}</t>
        </is>
      </c>
      <c r="M11" s="12" t="inlineStr">
        <is>
          <t>N/A</t>
        </is>
      </c>
      <c r="N11" s="12" t="inlineStr">
        <is>
          <t>N/A</t>
        </is>
      </c>
      <c r="O11" s="12" t="inlineStr">
        <is>
          <t>N/A</t>
        </is>
      </c>
      <c r="P11" s="12" t="inlineStr">
        <is>
          <t>N/A</t>
        </is>
      </c>
      <c r="Q11" s="12" t="inlineStr">
        <is>
          <t>Pass</t>
        </is>
      </c>
      <c r="R11" s="12" t="inlineStr">
        <is>
          <t>Technical Fail</t>
        </is>
      </c>
      <c r="S11" s="12" t="inlineStr">
        <is>
          <t>Technical Failure</t>
        </is>
      </c>
      <c r="T11" s="12" t="inlineStr">
        <is>
          <t>Retrieval found relevant Findings and Recommendations chunks, but response generation failed because of an OpenAI 500 server error.</t>
        </is>
      </c>
    </row>
    <row r="12">
      <c r="A12" s="12" t="inlineStr">
        <is>
          <t>T11</t>
        </is>
      </c>
      <c r="B12" s="12" t="inlineStr">
        <is>
          <t>Reflection</t>
        </is>
      </c>
      <c r="C12" s="12" t="inlineStr">
        <is>
          <t>IU08</t>
        </is>
      </c>
      <c r="D12" s="12" t="inlineStr">
        <is>
          <t>What should I discuss in my reflection after completing the research project?</t>
        </is>
      </c>
      <c r="E12" s="12" t="inlineStr">
        <is>
          <t>IU08 – Reflection &amp; Future Research</t>
        </is>
      </c>
      <c r="F12" s="12" t="inlineStr">
        <is>
          <t>Explain Topic</t>
        </is>
      </c>
      <c r="G12" s="12" t="inlineStr">
        <is>
          <t>After completing a research project, your reflection should focus on several key aspects as outlined in the course materials:
1. **Effectiveness of the Project Design and Conduct**: Reflect on how well the project was designed and conducted. Consider what was learned, what worked well, what did not work, and how future work could be improved. Instead of just describing project activities, provide critical evaluation by explaining reasons and consequences. For example, discuss the limitations of your sampling strategy and suggest improvements for future validity.
2. **Decision-Making and Outcomes**: Reflect on the decisions made during the project and their outcomes. Explain why certain decisions were made, connect lessons learned to evidence, and suggest ways to improve future projects based on these experiences.
3. **Personal and Professional Development**: Reflect on the skills you developed through the research project. Consider how the project enhanced your problem-solving abilities, critical thinking skills, data analysis techniques, project management skills, ethical judgment, communication skills, and decision-making processes. Provide examples of how your practice changed and connect your learning to future academic or professional endeavors.
4. **Evaluation of the Research Process**: Evaluate the entire research process critically. Reflect on aspects such as topic selection, planning, scheduling, data collection, analysis, communication, and any changes made during the project. Compare your initial plan with the actual execution, explain any significant deviations, and identify areas where project effectiveness could be improved in the future.
5. **Connection to Future Research and Practice**: Demonstrate how your research experience informs better future decisions. Show how methodological and project decisions influenced the quality of outcomes. Effective reflection should close the research cycle by translating evidence and experience into actionable improvements for future research and practice.
By addressing these key points in your reflection after completing the research project, you can provide a comprehensive and insightful analysis of your research experience and its implications for future endeavors.</t>
        </is>
      </c>
      <c r="H12" s="12" t="inlineStr">
        <is>
          <t>{
  "rank": 1,
  "chunk_id": "LM0801",
  "title": "Purpose of Research Reflection",
  "instructional_unit": "IU08 - Reflection &amp; Future Research",
  "document_type": "Learning Material",
  "source_file": "IU08_Reflection_and_Future_Research_RAG.docx",
  "distance": 0.6503490209579468,
  "content": "Purpose of Research Reflection Understand reflection as critical evaluation rather than description. Research reflection examines how effectively the project was designed and conducted, what was learned, what worked or did not work, and how future work could improve. Strong reflection explains reasons and consequences instead of merely recounting project activities. Weak: 'I used a survey and it went well.' Stronger: 'The survey produced comparable responses, but convenience sampling limited representation; a broader sampling strategy could improve future validity.' Reflect on decisions and outcomes; explain why; connect lessons to evidence and future improvement.",
  "metadata": {
    "module": "Research Project (CPL)",
    "intent": "Explain / Guide",
    "keywords": "reflection, critical reflection, research evaluation, lessons learned",
    "topic": "Purpose of Research Reflection",
    "difficulty": "Beginner",
    "instructional_unit": "IU08 - Reflection &amp; Future Research",
    "document_type": "Learning Material",
    "source": "Official Learning Material",
    "title": "Purpose of Research Reflection",
    "source_file": "IU08_Reflection_and_Future_Research_RAG.docx",
    "version": "1.0",
    "section": "Reflection",
    "course_id": "CPL",
    "chunk_id": "LM0801",
    "audience": "Learner",
    "question": "What does reflection mean in a research project?"
  }
}</t>
        </is>
      </c>
      <c r="I12" s="12" t="inlineStr">
        <is>
          <t>{
  "rank": 2,
  "chunk_id": "LM0809",
  "title": "Writing a Critical Reflection",
  "instructional_unit": "IU08 - Reflection &amp; Future Research",
  "document_type": "Learning Material",
  "source_file": "IU08_Reflection_and_Future_Research_RAG.docx",
  "distance": 0.6956451535224915,
  "content": "Writing a Critical Reflection Structure reflection around evidence, evaluation, and improvement. A useful reflection can follow a simple logic: describe the important decision or event briefly, evaluate its effectiveness using evidence, explain what was learned, and state what would be changed or retained in future work. Reflection should remain connected to the research objectives and process. Decision: use an online survey. Evaluation: efficient reach but low demographic diversity. Learning: distribution channel affected representation. Future action: recruit through multiple channels and monitor sample composition. Move beyond description; evaluate cause and effect; support reflection with project evidence; end with actionable learning.",
  "metadata": {
    "title": "Writing a Critical Reflection",
    "chunk_id": "LM0809",
    "version": "1.0",
    "source": "Official Learning Material",
    "difficulty": "Beginner",
    "source_file": "IU08_Reflection_and_Future_Research_RAG.docx",
    "course_id": "CPL",
    "instructional_unit": "IU08 - Reflection &amp; Future Research",
    "question": "How do I write a critical reflection instead of a descriptive one?",
    "intent": "Explain / Guide",
    "section": "Critical Reflection",
    "audience": "Learner",
    "keywords": "critical reflection, evaluation, lessons, improvement",
    "module": "Research Project (CPL)",
    "document_type": "Learning Material",
    "topic": "Writing a Critical Reflection"
  }
}</t>
        </is>
      </c>
      <c r="J12" s="12" t="inlineStr">
        <is>
          <t>{
  "rank": 3,
  "chunk_id": "LM0808",
  "title": "Personal and Professional Development",
  "instructional_unit": "IU08 - Reflection &amp; Future Research",
  "document_type": "Learning Material",
  "source_file": "IU08_Reflection_and_Future_Research_RAG.docx",
  "distance": 0.7271561026573181,
  "content": "Personal and Professional Development Reflect on skills developed through the research project. A research project can develop problem definition, critical reading, methodological reasoning, data analysis, project management, ethical judgement, communication, and decision-making. Reflection should support claims with examples of how the learner's practice changed. A learner may explain how comparing conflicting sources improved their ability to evaluate evidence rather than accepting technology claims at face value. Identify specific skills; provide evidence of development; connect learning to future academic or professional practice.",
  "metadata": {
    "instructional_unit": "IU08 - Reflection &amp; Future Research",
    "version": "1.0",
    "topic": "Personal and Professional Development",
    "audience": "Learner",
    "module": "Research Project (CPL)",
    "source": "Official Learning Material",
    "source_file": "IU08_Reflection_and_Future_Research_RAG.docx",
    "intent": "Explain / Guide",
    "document_type": "Learning Material",
    "difficulty": "Beginner",
    "section": "Development",
    "keywords": "professional development, research skills, learning, reflection",
    "question": "What skills can I reflect on from my research project?",
    "title": "Personal and Professional Development",
    "course_id": "CPL",
    "chunk_id": "LM0808"
  }
}</t>
        </is>
      </c>
      <c r="K12" s="12" t="inlineStr">
        <is>
          <t>{
  "rank": 4,
  "chunk_id": "LM0810",
  "title": "IU08 Final Learning Check",
  "instructional_unit": "IU08 - Reflection &amp; Future Research",
  "document_type": "Learning Material",
  "source_file": "IU08_Reflection_and_Future_Research_RAG.docx",
  "distance": 0.7355061769485474,
  "content": "IU08 Final Learning Check Confirm that the learner can critically evaluate the completed research project. At the end of IU08, the learner should be able to evaluate methodology effectiveness, research execution, limitations, alternative approaches, lessons learned, future research, and personal development. Reflection should demonstrate critical judgement and show how the research experience informs better future decisions. The learner should be able to explain not only what happened during the project but how methodological and project decisions affected the quality of the outcomes. Effective reflection closes the research cycle by converting evidence and experience into improvements for future research and practice.",
  "metadata": {
    "question": "What should my final research reflection cover?",
    "source_file": "IU08_Reflection_and_Future_Research_RAG.docx",
    "module": "Research Project (CPL)",
    "instructional_unit": "IU08 - Reflection &amp; Future Research",
    "chunk_id": "LM0810",
    "difficulty": "Beginner",
    "audience": "Learner",
    "version": "1.0",
    "section": "IU08 Summary",
    "title": "IU08 Final Learning Check",
    "source": "Official Learning Material",
    "intent": "Explain / Guide",
    "topic": "IU08 Final Learning Check",
    "course_id": "CPL",
    "document_type": "Learning Material",
    "keywords": "IU08 summary, reflection checklist, future research, lessons learned"
  }
}</t>
        </is>
      </c>
      <c r="L12" s="12" t="inlineStr">
        <is>
          <t>{
  "rank": 5,
  "chunk_id": "LM0803",
  "title": "Evaluating the Research Process",
  "instructional_unit": "IU08 - Reflection &amp; Future Research",
  "document_type": "Learning Material",
  "source_file": "IU08_Reflection_and_Future_Research_RAG.docx",
  "distance": 0.7994652986526489,
  "content": "Evaluating the Research Process Review project planning and execution critically. Reflection should consider topic selection, planning, scheduling, access, data collection, analysis, communication, and changes made during the project. Variance from the original plan can provide useful evidence of project-management learning. If interviews were delayed because participants were unavailable, explain how the schedule was adapted and what could be planned differently next time. Compare plan with actual execution; explain significant changes; identify what improved or reduced project effectiveness.",
  "metadata": {
    "source_file": "IU08_Reflection_and_Future_Research_RAG.docx",
    "course_id": "CPL",
    "keywords": "research process, project plan, schedule, evaluation",
    "topic": "Evaluating the Research Process",
    "document_type": "Learning Material",
    "module": "Research Project (CPL)",
    "section": "Process Evaluation",
    "audience": "Learner",
    "question": "What parts of the research process should I reflect on?",
    "version": "1.0",
    "title": "Evaluating the Research Process",
    "source": "Official Learning Material",
    "instructional_unit": "IU08 - Reflection &amp; Future Research",
    "difficulty": "Beginner",
    "intent": "Explain / Guide",
    "chunk_id": "LM0803"
  }
}</t>
        </is>
      </c>
      <c r="M12" s="12" t="inlineStr">
        <is>
          <t>Pass</t>
        </is>
      </c>
      <c r="N12" s="12" t="inlineStr">
        <is>
          <t>Pass</t>
        </is>
      </c>
      <c r="O12" s="12" t="inlineStr">
        <is>
          <t>Pass</t>
        </is>
      </c>
      <c r="P12" s="12" t="inlineStr">
        <is>
          <t>Pass</t>
        </is>
      </c>
      <c r="Q12" s="12" t="inlineStr">
        <is>
          <t>Pass</t>
        </is>
      </c>
      <c r="R12" s="12" t="inlineStr">
        <is>
          <t>Pass</t>
        </is>
      </c>
      <c r="S12" s="12" t="n"/>
      <c r="T12" s="12" t="n"/>
    </row>
    <row r="13">
      <c r="A13" s="12" t="inlineStr">
        <is>
          <t>T12</t>
        </is>
      </c>
      <c r="B13" s="12" t="inlineStr">
        <is>
          <t>Cross-topic Scenario</t>
        </is>
      </c>
      <c r="C13" s="12" t="inlineStr">
        <is>
          <t>IU02–IU07</t>
        </is>
      </c>
      <c r="D13" s="12" t="inlineStr">
        <is>
          <t>My research question, survey questions, findings and recommendations do not seem to connect well. What should I check?</t>
        </is>
      </c>
      <c r="E13" s="12" t="inlineStr">
        <is>
          <t>Alignment across research question, methodology, findings and recommendations</t>
        </is>
      </c>
      <c r="F13" s="12" t="inlineStr">
        <is>
          <t>Ask Anything</t>
        </is>
      </c>
      <c r="G13" s="12" t="inlineStr">
        <is>
          <t>To ensure that your research question, survey questions, findings, and recommendations connect well, you should check the alignment between them. Here are some key points to consider based on the course materials:
1. **Research Aim, Objectives, and Question Alignment**:
   - Make sure that your research question is aligned with your research aim, objectives, and the identified problem.
   - The problem should explain why research is needed, the aim states the overall purpose, objectives define the actions, and the research question identifies what must be answered.
   - Check that all these elements point in the same direction and contribute to each other.
2. **Linking Findings to Research Objectives**:
   - Ensure that your findings directly address each research objective you have set.
   - Organize your results in a way that makes it easy to trace evidence back to the research objectives.
   - Acknowledge if any objectives were only partly achieved and maintain traceability from objective to evidence.
3. **Discussion of Findings**:
   - Critically discuss the significance of your findings and compare them with existing literature, theory, and expectations.
   - Explore why your findings may agree or disagree with previous research and consider any limitations or alternative explanations.
   - Interpret the results and explain their significance and uncertainty.
By checking the alignment between your research question, survey questions, findings, and recommendations based on these guidelines, you can ensure that they are well-connected and support each other effectively in your research project.</t>
        </is>
      </c>
      <c r="H13" s="12" t="inlineStr">
        <is>
          <t>{
  "rank": 1,
  "chunk_id": "LM0202",
  "title": "Research Aim, Objectives and Question Alignment",
  "instructional_unit": "IU02 - Research Questions &amp; Literature Review",
  "document_type": "Learning Material",
  "source_file": "IU02_Research_Questions_and_Literature_Review_RAG.docx",
  "distance": 0.9687126278877258,
  "content": "Research Aim, Objectives and Question Alignment Understand how the problem, aim, objectives, and research question connect. The problem explains why research is needed; the aim states the overall purpose; objectives define the actions; and the research question identifies what must be answered. These elements should point in the same direction. Problem: slow support response. Aim: investigate AI chatbot suitability. Objective: evaluate benefits and limitations. Question: how could an AI chatbot affect support efficiency? Check alignment before data collection; avoid objectives that do not contribute to the research question.",
  "metadata": {
    "topic": "Research Aim, Objectives and Question Alignment",
    "document_type": "Learning Material",
    "instructional_unit": "IU02 - Research Questions &amp; Literature Review",
    "module": "Research Project (CPL)",
    "question": "How should my research question align with my objectives?",
    "intent": "Explain / Guide",
    "audience": "Learner",
    "keywords": "aim, objectives, research question, alignment",
    "source_file": "IU02_Research_Questions_and_Literature_Review_RAG.docx",
    "section": "Alignment",
    "version": "1.0",
    "source": "Official Learning Material",
    "chunk_id": "LM0202",
    "title": "Research Aim, Objectives and Question Alignment",
    "course_id": "CPL",
    "difficulty": "Beginner"
  }
}</t>
        </is>
      </c>
      <c r="I13" s="12" t="inlineStr">
        <is>
          <t>{
  "rank": 2,
  "chunk_id": "LM0702",
  "title": "Linking Findings to Research Objectives",
  "instructional_unit": "IU07 - Research Findings &amp; Recommendations",
  "document_type": "Learning Material",
  "source_file": "IU07_Research_Findings_and_Recommendations_RAG.docx",
  "distance": 1.0428617000579834,
  "content": "Linking Findings to Research Objectives Demonstrate whether each research objective has been addressed. The findings section should make it easy to trace evidence back to the research objectives. Learners can organise results by objective or explicitly state which findings answer each objective. Objectives that were only partly achieved should be acknowledged. Objective: evaluate customer acceptance of AI chatbots. Relevant findings could include satisfaction ratings, preferred use cases, and concerns identified in interviews. Maintain traceability from objective to evidence; do not claim an objective was achieved without supporting results.",
  "metadata": {
    "keywords": "research objectives, findings, alignment, traceability",
    "chunk_id": "LM0702",
    "question": "How do I show that my research objectives were achieved?",
    "topic": "Linking Findings to Research Objectives",
    "source_file": "IU07_Research_Findings_and_Recommendations_RAG.docx",
    "audience": "Learner",
    "version": "1.0",
    "source": "Official Learning Material",
    "title": "Linking Findings to Research Objectives",
    "intent": "Explain / Guide",
    "section": "Objective Alignment",
    "document_type": "Learning Material",
    "difficulty": "Beginner",
    "course_id": "CPL",
    "instructional_unit": "IU07 - Research Findings &amp; Recommendations",
    "module": "Research Project (CPL)"
  }
}</t>
        </is>
      </c>
      <c r="J13" s="12" t="inlineStr">
        <is>
          <t>{
  "rank": 3,
  "chunk_id": "LM0209",
  "title": "IU02 Learning Check",
  "instructional_unit": "IU02 - Research Questions &amp; Literature Review",
  "document_type": "Learning Material",
  "source_file": "IU02_Research_Questions_and_Literature_Review_RAG.docx",
  "distance": 1.0476959943771362,
  "content": "IU02 Learning Check Consolidate the foundation for the proposal. Before progressing, the learner should have a focused research question aligned with the problem, aim, and objectives; a set of credible sources; a thematic and critical literature review; and a defensible research gap. The learner should be able to explain what existing research says, where evidence differs or is limited, and how this supports the chosen research question. Research questions and literature should reinforce each other and provide the evidence base for methodology selection.",
  "metadata": {
    "section": "IU02 Summary",
    "intent": "Explain / Guide",
    "chunk_id": "LM0209",
    "topic": "IU02 Learning Check",
    "audience": "Learner",
    "version": "1.0",
    "module": "Research Project (CPL)",
    "instructional_unit": "IU02 - Research Questions &amp; Literature Review",
    "keywords": "IU02 summary, research question, literature review checklist",
    "title": "IU02 Learning Check",
    "question": "What should I complete after the literature review stage?",
    "source": "Official Learning Material",
    "document_type": "Learning Material",
    "difficulty": "Beginner",
    "source_file": "IU02_Research_Questions_and_Literature_Review_RAG.docx",
    "course_id": "CPL"
  }
}</t>
        </is>
      </c>
      <c r="K13" s="12" t="inlineStr">
        <is>
          <t>{
  "rank": 4,
  "chunk_id": "LM0703",
  "title": "Discussion of Findings",
  "instructional_unit": "IU07 - Research Findings &amp; Recommendations",
  "document_type": "Learning Material",
  "source_file": "IU07_Research_Findings_and_Recommendations_RAG.docx",
  "distance": 1.053749918937683,
  "content": "Discussion of Findings Critically discuss what the results mean. Discussion interprets the significance of findings and compares them with literature, theory, expectations, and the business context. It should explore why findings may agree or disagree with previous research and consider limitations or alternative explanations. If literature predicts strong chatbot acceptance but participants prefer human support for complex issues, discuss whether task complexity or trust explains the difference. Discussion is interpretation, not repetition; compare with literature; explain significance and uncertainty.",
  "metadata": {
    "question": "How do I discuss my research findings?",
    "instructional_unit": "IU07 - Research Findings &amp; Recommendations",
    "source": "Official Learning Material",
    "audience": "Learner",
    "intent": "Explain / Guide",
    "document_type": "Learning Material",
    "course_id": "CPL",
    "source_file": "IU07_Research_Findings_and_Recommendations_RAG.docx",
    "section": "Discussion",
    "topic": "Discussion of Findings",
    "title": "Discussion of Findings",
    "version": "1.0",
    "difficulty": "Beginner",
    "keywords": "discussion, literature comparison, interpretation, significance",
    "chunk_id": "LM0703",
    "module": "Research Project (CPL)"
  }
}</t>
        </is>
      </c>
      <c r="L13" s="12" t="inlineStr">
        <is>
          <t>{
  "rank": 5,
  "chunk_id": "LM0701",
  "title": "Research Findings",
  "instructional_unit": "IU07 - Research Findings &amp; Recommendations",
  "document_type": "Learning Material",
  "source_file": "IU07_Research_Findings_and_Recommendations_RAG.docx",
  "distance": 1.0548049211502075,
  "content": "Research Findings Understand how to communicate the main results of a research project. Research findings are the evidence-based results produced by the analysis. They should be organised around the research objectives or major themes, clearly distinguish results from opinion, and include appropriate tables, charts, or qualitative evidence where useful. A finding may state that most surveyed participants prefer automated support for simple order-status questions but prefer human assistance for complaints. Report what the evidence shows; organise around objectives; avoid introducing unsupported claims.",
  "metadata": {
    "title": "Research Findings",
    "intent": "Explain / Guide",
    "audience": "Learner",
    "topic": "Research Findings",
    "course_id": "CPL",
    "chunk_id": "LM0701",
    "document_type": "Learning Material",
    "keywords": "research findings, results, evidence, objectives",
    "section": "Findings",
    "instructional_unit": "IU07 - Research Findings &amp; Recommendations",
    "version": "1.0",
    "module": "Research Project (CPL)",
    "source_file": "IU07_Research_Findings_and_Recommendations_RAG.docx",
    "question": "What are research findings?",
    "source": "Official Learning Material",
    "difficulty": "Beginner"
  }
}</t>
        </is>
      </c>
      <c r="M13" s="12" t="inlineStr">
        <is>
          <t>Partial</t>
        </is>
      </c>
      <c r="N13" s="12" t="inlineStr">
        <is>
          <t>Pass</t>
        </is>
      </c>
      <c r="O13" s="12" t="inlineStr">
        <is>
          <t>Pass</t>
        </is>
      </c>
      <c r="P13" s="12" t="inlineStr">
        <is>
          <t>Partial</t>
        </is>
      </c>
      <c r="Q13" s="12" t="inlineStr">
        <is>
          <t>Pass</t>
        </is>
      </c>
      <c r="R13" s="12" t="inlineStr">
        <is>
          <t>Partial</t>
        </is>
      </c>
      <c r="S13" s="12" t="inlineStr">
        <is>
          <t>Cross-Concept Synthesis</t>
        </is>
      </c>
      <c r="T13" s="12" t="inlineStr">
        <is>
          <t>Retrieval was good, but the answer did not fully connect survey questions, findings, and recommendations.</t>
        </is>
      </c>
    </row>
    <row r="14">
      <c r="A14" s="12" t="inlineStr">
        <is>
          <t>T13</t>
        </is>
      </c>
      <c r="B14" s="12" t="inlineStr">
        <is>
          <t>Vague Learner Question</t>
        </is>
      </c>
      <c r="C14" s="12" t="inlineStr">
        <is>
          <t>IU04</t>
        </is>
      </c>
      <c r="D14" s="12" t="inlineStr">
        <is>
          <t>I don't understand project planning. What am I supposed to do?</t>
        </is>
      </c>
      <c r="E14" s="12" t="inlineStr">
        <is>
          <t>IU04 – Planning; should clarify or guide</t>
        </is>
      </c>
      <c r="F14" s="12" t="inlineStr">
        <is>
          <t>Ask Anything</t>
        </is>
      </c>
      <c r="G14" s="12" t="inlineStr">
        <is>
          <t>Project planning involves creating a detailed roadmap that outlines the activities, responsibilities, resources, timelines, and expected outcomes of a research project. Here are some key steps to help you understand project planning:
1. **Research Project Plan**: The research project plan translates the approved research idea into organized activities, responsibilities, resources, dates, and expected outputs. It guides you from the proposal stage through data collection, analysis, reporting, and reflection. For example, a plan for an AI chatbot study may include tasks like literature review, questionnaire design, ethics preparation, data collection, analysis, report writing, and presentation.
2. **Monitoring and Updating the Plan**: Once you have a project plan in place, it's essential to monitor and update it regularly. Compare the actual progress with the planned schedule throughout the project. If tasks are delayed or assumptions change, record these changes, assess their impact on later activities, and revise the schedule or scope as needed. Adapt the plan while preserving the research objectives.
3. **IU04 Learning Check**: Before substantial data collection begins, ensure that your project is ready for execution. Have a Work Breakdown Structure (WBS), logical task sequence, milestones, deliverables, realistic schedule, required resources, key risks, and a method for monitoring progress in place. Your plan should be traceable from objectives to tasks, schedule, resources, risks, and outputs.
4. **Evaluating the Research Process**: After completing the project, critically evaluate the project planning and execution. Reflect on various aspects such as topic selection, planning, scheduling, data collection, analysis, communication, and any changes made during the project. Comparing the planned activities with the actual execution can provide valuable insights for future project management.
By following these steps and continuously monitoring and updating your project plan, you can effectively manage your research project and ensure its successful completion. If you have any specific questions or need further clarification on any of these steps, feel free to ask!</t>
        </is>
      </c>
      <c r="H14" s="12" t="inlineStr">
        <is>
          <t>{
  "rank": 1,
  "chunk_id": "LM0409",
  "title": "Monitoring and Updating the Plan",
  "instructional_unit": "IU04 - Research Planning &amp; Scheduling",
  "document_type": "Learning Material",
  "source_file": "IU04_Research_Planning_and_Scheduling_RAG.docx",
  "distance": 0.9940438270568848,
  "content": "Monitoring and Updating the Plan Use the plan as an active project-control tool. Progress should be compared with the planned schedule throughout the project. When tasks are delayed or assumptions change, the learner should record the change, assess its effect on later activities, and revise the schedule or scope where appropriate. If participant recruitment takes one week longer, the learner may revise analysis dates while protecting the final reporting deadline. Monitor actual versus planned progress; document significant changes; adapt while preserving research objectives.",
  "metadata": {
    "title": "Monitoring and Updating the Plan",
    "source": "Official Learning Material",
    "source_file": "IU04_Research_Planning_and_Scheduling_RAG.docx",
    "topic": "Monitoring and Updating the Plan",
    "difficulty": "Beginner",
    "chunk_id": "LM0409",
    "audience": "Learner",
    "question": "What should I do if my research project falls behind schedule?",
    "intent": "Explain / Guide",
    "section": "Monitoring",
    "course_id": "CPL",
    "keywords": "monitoring, schedule update, progress, delay",
    "document_type": "Learning Material",
    "version": "1.0",
    "instructional_unit": "IU04 - Research Planning &amp; Scheduling",
    "module": "Research Project (CPL)"
  }
}</t>
        </is>
      </c>
      <c r="I14" s="12" t="inlineStr">
        <is>
          <t>{
  "rank": 2,
  "chunk_id": "LM0401",
  "title": "Research Project Plan",
  "instructional_unit": "IU04 - Research Planning &amp; Scheduling",
  "document_type": "Learning Material",
  "source_file": "IU04_Research_Planning_and_Scheduling_RAG.docx",
  "distance": 1.0718472003936768,
  "content": "Research Project Plan Understand the role of a research project plan. A research project plan translates the approved research idea into organised activities, responsibilities, resources, dates, and expected outputs. It should show how the learner will move from proposal through data collection, analysis, reporting, and reflection. A plan for an AI chatbot study may include literature review, questionnaire design, ethics preparation, data collection, analysis, recommendations, report writing, and presentation. A plan connects objectives to actions; activities should be realistic and sequenced; progress should be reviewable.",
  "metadata": {
    "module": "Research Project (CPL)",
    "topic": "Research Project Plan",
    "version": "1.0",
    "source": "Official Learning Material",
    "title": "Research Project Plan",
    "course_id": "CPL",
    "document_type": "Learning Material",
    "instructional_unit": "IU04 - Research Planning &amp; Scheduling",
    "section": "Project Planning",
    "keywords": "research plan, project plan, activities, deliverables",
    "intent": "Explain / Guide",
    "question": "What should be included in my research project plan?",
    "source_file": "IU04_Research_Planning_and_Scheduling_RAG.docx",
    "audience": "Learner",
    "difficulty": "Beginner",
    "chunk_id": "LM0401"
  }
}</t>
        </is>
      </c>
      <c r="J14" s="12" t="inlineStr">
        <is>
          <t>{
  "rank": 3,
  "chunk_id": "RB003",
  "title": "Research Plan",
  "instructional_unit": null,
  "document_type": "Rubric",
  "source_file": "Rubric_RAG_v3.docx",
  "distance": 1.0969898700714111,
  "content": "Research Plan Assesses WBS, timeline and research planning.",
  "metadata": {
    "section": "A3",
    "course_id": "CPL",
    "document_type": "Rubric",
    "module": "Research Project (CPL)",
    "topic": "Research Plan",
    "chunk_id": "RB003",
    "title": "Research Plan",
    "keywords": "timeline, WBS",
    "weight": "5 Marks",
    "question": "How is the research plan assessed?",
    "difficulty": "Beginner",
    "performance_guide": "0–1: Missing. 1–2: Basic. 3–4: Clear. 5: Comprehensive.",
    "source_file": "Rubric_RAG_v3.docx",
    "source": "Official Marking Sheet",
    "version": "1.0"
  }
}</t>
        </is>
      </c>
      <c r="K14" s="12" t="inlineStr">
        <is>
          <t>{
  "rank": 4,
  "chunk_id": "LM0410",
  "title": "IU04 Learning Check",
  "instructional_unit": "IU04 - Research Planning &amp; Scheduling",
  "document_type": "Learning Material",
  "source_file": "IU04_Research_Planning_and_Scheduling_RAG.docx",
  "distance": 1.0980615615844727,
  "content": "IU04 Learning Check Confirm that the project is ready for execution. Before beginning substantial data collection, the learner should have a WBS, logical task sequence, milestones, deliverables, realistic schedule, required resources, key risks, and a method for monitoring progress. The learner should be able to explain not only when each activity occurs but why the sequence and duration are realistic. A useful plan is traceable from objectives to tasks, schedule, resources, risks, and outputs.",
  "metadata": {
    "title": "IU04 Learning Check",
    "difficulty": "Beginner",
    "topic": "IU04 Learning Check",
    "audience": "Learner",
    "keywords": "IU04 summary, WBS, Gantt chart, research planning checklist",
    "module": "Research Project (CPL)",
    "question": "What should be completed in my research project plan?",
    "source_file": "IU04_Research_Planning_and_Scheduling_RAG.docx",
    "course_id": "CPL",
    "source": "Official Learning Material",
    "version": "1.0",
    "instructional_unit": "IU04 - Research Planning &amp; Scheduling",
    "section": "IU04 Summary",
    "document_type": "Learning Material",
    "intent": "Explain / Guide",
    "chunk_id": "LM0410"
  }
}</t>
        </is>
      </c>
      <c r="L14" s="12" t="inlineStr">
        <is>
          <t>{
  "rank": 5,
  "chunk_id": "LM0803",
  "title": "Evaluating the Research Process",
  "instructional_unit": "IU08 - Reflection &amp; Future Research",
  "document_type": "Learning Material",
  "source_file": "IU08_Reflection_and_Future_Research_RAG.docx",
  "distance": 1.1180074214935303,
  "content": "Evaluating the Research Process Review project planning and execution critically. Reflection should consider topic selection, planning, scheduling, access, data collection, analysis, communication, and changes made during the project. Variance from the original plan can provide useful evidence of project-management learning. If interviews were delayed because participants were unavailable, explain how the schedule was adapted and what could be planned differently next time. Compare plan with actual execution; explain significant changes; identify what improved or reduced project effectiveness.",
  "metadata": {
    "source": "Official Learning Material",
    "topic": "Evaluating the Research Process",
    "title": "Evaluating the Research Process",
    "section": "Process Evaluation",
    "module": "Research Project (CPL)",
    "instructional_unit": "IU08 - Reflection &amp; Future Research",
    "difficulty": "Beginner",
    "version": "1.0",
    "intent": "Explain / Guide",
    "keywords": "research process, project plan, schedule, evaluation",
    "chunk_id": "LM0803",
    "source_file": "IU08_Reflection_and_Future_Research_RAG.docx",
    "audience": "Learner",
    "question": "What parts of the research process should I reflect on?",
    "course_id": "CPL",
    "document_type": "Learning Material"
  }
}</t>
        </is>
      </c>
      <c r="M14" s="12" t="inlineStr">
        <is>
          <t>Pass</t>
        </is>
      </c>
      <c r="N14" s="12" t="inlineStr">
        <is>
          <t>Pass</t>
        </is>
      </c>
      <c r="O14" s="12" t="inlineStr">
        <is>
          <t>Pass</t>
        </is>
      </c>
      <c r="P14" s="12" t="inlineStr">
        <is>
          <t>Pass</t>
        </is>
      </c>
      <c r="Q14" s="12" t="inlineStr">
        <is>
          <t>Partial</t>
        </is>
      </c>
      <c r="R14" s="12" t="inlineStr">
        <is>
          <t>Pass</t>
        </is>
      </c>
      <c r="S14" s="12" t="inlineStr">
        <is>
          <t>Retrieval / Follow-up</t>
        </is>
      </c>
      <c r="T14" s="12" t="inlineStr">
        <is>
          <t>Useful answer, but one lower-ranked retrieved chunk was weak and the mentor could have asked a clarifying follow-up question.</t>
        </is>
      </c>
    </row>
    <row r="15">
      <c r="A15" s="12" t="inlineStr">
        <is>
          <t>T14</t>
        </is>
      </c>
      <c r="B15" s="12" t="inlineStr">
        <is>
          <t>Out-of-scope</t>
        </is>
      </c>
      <c r="C15" s="12" t="inlineStr">
        <is>
          <t>Out of CPL</t>
        </is>
      </c>
      <c r="D15" s="12" t="inlineStr">
        <is>
          <t>Can you explain how to build a neural network in Python for image recognition?</t>
        </is>
      </c>
      <c r="E15" s="12" t="inlineStr">
        <is>
          <t>No sufficient CPL evidence expected</t>
        </is>
      </c>
      <c r="F15" s="12" t="inlineStr">
        <is>
          <t>Ask Anything</t>
        </is>
      </c>
      <c r="G15" s="12" t="inlineStr">
        <is>
          <t>The course materials provided do not contain specific information on how to build a neural network in Python for image recognition. However, I can guide you on a general approach to building a neural network for image recognition in Python:
1. **Choose a Neural Network Architecture**: Decide on the type of neural network architecture you want to use for image recognition, such as a Convolutional Neural Network (CNN) which is commonly used for this task.
2. **Data Preparation**: Gather and preprocess your image data. This may involve resizing images, normalizing pixel values, and splitting the data into training and testing sets.
3. **Build the Neural Network Model**: Using a deep learning library like TensorFlow or Keras, define the layers of your neural network model. For image recognition, the initial layers are typically convolutional layers followed by pooling layers.
4. **Compile the Model**: Specify the loss function, optimizer, and metrics to be used for training the model.
5. **Train the Model**: Feed the training data into the model and train it using the `fit` function. Monitor the training process by evaluating the model on the validation set.
6. **Evaluate the Model**: Once training is complete, evaluate the model's performance on the test set to see how well it can recognize images it hasn't seen before.
7. **Fine-tuning and Optimization**: Experiment with different hyperparameters, model architectures, and data augmentation techniques to improve the model's performance.
Remember, building a neural network for image recognition is a complex task that requires a good understanding of deep learning concepts. It's important to experiment, iterate, and learn from the results to improve the model's accuracy.</t>
        </is>
      </c>
      <c r="H15" s="12" t="inlineStr">
        <is>
          <t>{
  "rank": 1,
  "chunk_id": "LM0401",
  "title": "Research Project Plan",
  "instructional_unit": "IU04 - Research Planning &amp; Scheduling",
  "document_type": "Learning Material",
  "source_file": "IU04_Research_Planning_and_Scheduling_RAG.docx",
  "distance": 1.5087043046951294,
  "content": "Research Project Plan Understand the role of a research project plan. A research project plan translates the approved research idea into organised activities, responsibilities, resources, dates, and expected outputs. It should show how the learner will move from proposal through data collection, analysis, reporting, and reflection. A plan for an AI chatbot study may include literature review, questionnaire design, ethics preparation, data collection, analysis, recommendations, report writing, and presentation. A plan connects objectives to actions; activities should be realistic and sequenced; progress should be reviewable.",
  "metadata": {
    "question": "What should be included in my research project plan?",
    "audience": "Learner",
    "keywords": "research plan, project plan, activities, deliverables",
    "source_file": "IU04_Research_Planning_and_Scheduling_RAG.docx",
    "difficulty": "Beginner",
    "module": "Research Project (CPL)",
    "version": "1.0",
    "document_type": "Learning Material",
    "intent": "Explain / Guide",
    "section": "Project Planning",
    "instructional_unit": "IU04 - Research Planning &amp; Scheduling",
    "course_id": "CPL",
    "source": "Official Learning Material",
    "topic": "Research Project Plan",
    "chunk_id": "LM0401",
    "title": "Research Project Plan"
  }
}</t>
        </is>
      </c>
      <c r="I15" s="12" t="inlineStr">
        <is>
          <t>{
  "rank": 2,
  "chunk_id": "AB002",
  "title": "Assignment Objective",
  "instructional_unit": null,
  "document_type": "Assignment Brief",
  "source_file": "Assignment_Brief_RAG_v3.docx",
  "distance": 1.569880485534668,
  "content": "Assignment Objective Research one approved AI application area and provide evidence-based recommendations.",
  "metadata": {
    "keywords": "objective, research",
    "version": "1.0",
    "topic": "Assignment Objective",
    "question": "What is the objective?",
    "document_type": "Assignment Brief",
    "section": "Objective",
    "title": "Assignment Objective",
    "source": "Official Assignment Brief",
    "course_id": "CPL",
    "chunk_id": "AB002",
    "module": "Research Project (CPL)",
    "source_file": "Assignment_Brief_RAG_v3.docx",
    "difficulty": "Beginner"
  }
}</t>
        </is>
      </c>
      <c r="J15" s="12" t="inlineStr">
        <is>
          <t>{
  "rank": 3,
  "chunk_id": "LM0601",
  "title": "Purpose of Data Analysis",
  "instructional_unit": "IU06 - Data Analysis &amp; Interpretation",
  "document_type": "Learning Material",
  "source_file": "IU06_Data_Analysis_and_Interpretation_RAG.docx",
  "distance": 1.5738170146942139,
  "content": "Purpose of Data Analysis Understand how analysis turns collected data into evidence. Data analysis is the systematic process of organising, examining, summarising, and interpreting collected evidence so that the research question and objectives can be addressed. The analytical method should match the type of data and the purpose of the study. A learner studying AI chatbot adoption may analyse survey ratings to identify satisfaction patterns and interview responses to identify recurring concerns. Analysis should answer the research question; methods must fit the data; findings should be evidence-based rather than opinion.",
  "metadata": {
    "document_type": "Learning Material",
    "intent": "Explain / Guide",
    "version": "1.0",
    "course_id": "CPL",
    "topic": "Purpose of Data Analysis",
    "instructional_unit": "IU06 - Data Analysis &amp; Interpretation",
    "chunk_id": "LM0601",
    "audience": "Learner",
    "module": "Research Project (CPL)",
    "source_file": "IU06_Data_Analysis_and_Interpretation_RAG.docx",
    "difficulty": "Beginner",
    "section": "Analysis Fundamentals",
    "title": "Purpose of Data Analysis",
    "source": "Official Learning Material",
    "keywords": "data analysis, interpretation, research findings, evidence",
    "question": "Why do we analyse research data?"
  }
}</t>
        </is>
      </c>
      <c r="K15" s="12" t="inlineStr">
        <is>
          <t>{
  "rank": 4,
  "chunk_id": "LM0101",
  "title": "Understanding a Research Project",
  "instructional_unit": "IU01 - Project Initiation &amp; Research Topic",
  "document_type": "Learning Material",
  "source_file": "IU01_Project_Initiation_RAG_Learning_Material.docx",
  "distance": 1.5975631475448608,
  "content": "Understanding a Research Project Understand the purpose and characteristics of a research project. A research project is a structured investigation of a defined problem or question. It uses evidence, appropriate research methods, analysis, and critical thinking to reach conclusions or recommendations. In a computing research project, the investigation should connect a technology-related topic to a real problem or opportunity. A learner may investigate how AI-driven recommendation systems could improve product discovery for an online fashion retailer. A research project begins with a focused problem; uses evidence rather than opinion; follows a planned process; and ends with findings, conclusions, or recommendations.",
  "metadata": {
    "source": "Official Learning Material",
    "source_file": "IU01_Project_Initiation_RAG_Learning_Material.docx",
    "intent": "Explain / Guide",
    "audience": "Learner",
    "title": "Understanding a Research Project",
    "section": "Research Project Fundamentals",
    "course_id": "CPL",
    "topic": "Understanding a Research Project",
    "document_type": "Learning Material",
    "instructional_unit": "IU01 - Project Initiation &amp; Research Topic",
    "question": "What is a research project?",
    "difficulty": "Beginner",
    "module": "Research Project (CPL)",
    "version": "1.0",
    "keywords": "research project, computing research, investigation, evidence, research process",
    "chunk_id": "LM0101"
  }
}</t>
        </is>
      </c>
      <c r="L15" s="12" t="inlineStr">
        <is>
          <t>{
  "rank": 5,
  "chunk_id": "LM0110",
  "title": "IU01 Learning Check",
  "instructional_unit": "IU01 - Project Initiation &amp; Research Topic",
  "document_type": "Learning Material",
  "source_file": "IU01_Project_Initiation_RAG_Learning_Material.docx",
  "distance": 1.6046395301818848,
  "content": "IU01 Learning Check Consolidate the key decisions required before moving into research methodology and detailed planning. Before progressing, the learner should be able to explain the business context, state a focused research topic and problem, define an aim and objectives, establish the scope, identify key stakeholders, and recognise major constraints, risks, and assumptions. These elements provide the foundation for developing research questions, selecting methodology, and planning the project. A learner studying AI personalization should be able to explain the customer-experience problem being investigated, the intended research outcome, who is affected, and what limitations may influence the study. A strong initiation stage creates alignment between the problem, aim, objectives, scope, stakeholders, and feasibility.",
  "metadata": {
    "version": "1.0",
    "module": "Research Project (CPL)",
    "intent": "Explain / Guide",
    "document_type": "Learning Material",
    "title": "IU01 Learning Check",
    "course_id": "CPL",
    "section": "IU01 Summary",
    "keywords": "IU01 summary, project initiation checklist, research foundation, next steps",
    "topic": "IU01 Learning Check",
    "instructional_unit": "IU01 - Project Initiation &amp; Research Topic",
    "audience": "Learner",
    "question": "What should I have completed before moving to the next research stage?",
    "source_file": "IU01_Project_Initiation_RAG_Learning_Material.docx",
    "source": "Official Learning Material",
    "difficulty": "Beginner",
    "chunk_id": "LM0110"
  }
}</t>
        </is>
      </c>
      <c r="M15" s="12" t="inlineStr">
        <is>
          <t>Fail</t>
        </is>
      </c>
      <c r="N15" s="12" t="inlineStr">
        <is>
          <t>Fail</t>
        </is>
      </c>
      <c r="O15" s="12" t="inlineStr">
        <is>
          <t>Fail</t>
        </is>
      </c>
      <c r="P15" s="12" t="inlineStr">
        <is>
          <t>Fail</t>
        </is>
      </c>
      <c r="Q15" s="12" t="inlineStr">
        <is>
          <t>Fail</t>
        </is>
      </c>
      <c r="R15" s="12" t="inlineStr">
        <is>
          <t>Fail</t>
        </is>
      </c>
      <c r="S15" s="12" t="inlineStr">
        <is>
          <t>Grounding/Content Fail</t>
        </is>
      </c>
      <c r="T15" s="12" t="inlineStr">
        <is>
          <t>Out-of-scope neural-network question retrieved weak unrelated CPL chunks; the model acknowledged insufficient course information but then answered using unsupported general knowledge, violating grounding instructions.</t>
        </is>
      </c>
    </row>
    <row r="16">
      <c r="A16" s="12" t="inlineStr">
        <is>
          <t>T15</t>
        </is>
      </c>
      <c r="B16" s="12" t="inlineStr">
        <is>
          <t>Out-of-scope / Hallucination</t>
        </is>
      </c>
      <c r="C16" s="12" t="inlineStr">
        <is>
          <t>Out of CPL</t>
        </is>
      </c>
      <c r="D16" s="12" t="inlineStr">
        <is>
          <t>According to the CPL course materials, what is the exact minimum number of survey participants required to pass the assignment?</t>
        </is>
      </c>
      <c r="E16" s="12" t="inlineStr">
        <is>
          <t>Only state an exact number if CPL materials explicitly provide one</t>
        </is>
      </c>
      <c r="F16" s="12" t="inlineStr">
        <is>
          <t>Ask Anything</t>
        </is>
      </c>
      <c r="G16" s="12" t="inlineStr">
        <is>
          <t>ERROR: RuntimeError: OpenAI API error: The server had an error while processing your request. Sorry about that! {
  "error": {
    "message": "The server had an error while processing your request. Sorry about that!",
    "type": "server_error",
    "param": null,
    "code": null
  }
} 500 {'error': {'message': 'The server had an error while processing your request. Sorry about that!', 'type': 'server_error', 'param': None, 'code': None}} {'Date': 'Mon, 10 Aug 2026 13:54:20 GMT', 'Content-Type': 'application/json', 'Content-Length': '175', 'Connection': 'keep-alive', 'CF-Ray': 'a28f7deb4cb78961-BKK', 'CF-Cache-Status': 'DYNAMIC', 'Server': 'cloudflare', 'Strict-Transport-Security': 'max-age=31536000; includeSubDomains; preload', 'X-Content-Type-Options': 'nosniff', 'access-control-expose-headers': 'X-Request-ID, CF-Ray, CF-Ray', 'openai-organization': 'sfuss', 'openai-processing-ms': '438', 'openai-project': 'proj_VYaymp8FG7Pw91DQXrWrjVWj', 'openai-version': '2020-10-01', 'x-openai-proxy-wasm': 'v0.1', 'x-ratelimit-limit-requests': '10000', 'x-ratelimit-limit-tokens': '200000', 'x-ratelimit-remaining-requests': '9988', 'x-ratelimit-remaining-tokens': '198737', 'x-ratelimit-reset-requests': '1m37.995s', 'x-ratelimit-reset-tokens': '378ms', 'x-request-id': 'req_ca7f47fa2ba9470a9657fd43f07fad11', 'alt-svc': 'h3=":443"; ma=86400'}</t>
        </is>
      </c>
      <c r="H16" s="12" t="inlineStr">
        <is>
          <t>{
  "rank": 1,
  "chunk_id": "CG001",
  "title": "Course Overview",
  "instructional_unit": null,
  "document_type": "Course Guide",
  "source_file": "Course_Guide_RAG_v3.docx",
  "distance": 1.1244096755981445,
  "content": "Course Overview Introduces the purpose, scope, and expected outcomes of the Research Project (CPL) course.",
  "metadata": {
    "document_type": "Course Guide",
    "difficulty": "Beginner",
    "module": "Research Project (CPL)",
    "title": "Course Overview",
    "section": "Course Overview",
    "source_file": "Course_Guide_RAG_v3.docx",
    "topic": "Course Overview",
    "keywords": "course overview, introduction",
    "course_id": "CPL",
    "source": "Official Course Guide",
    "question": "What is this course about?",
    "version": "1.0",
    "chunk_id": "CG001"
  }
}</t>
        </is>
      </c>
      <c r="I16" s="12" t="inlineStr">
        <is>
          <t>{
  "rank": 2,
  "chunk_id": "LM0410",
  "title": "IU04 Learning Check",
  "instructional_unit": "IU04 - Research Planning &amp; Scheduling",
  "document_type": "Learning Material",
  "source_file": "IU04_Research_Planning_and_Scheduling_RAG.docx",
  "distance": 1.3546303510665894,
  "content": "IU04 Learning Check Confirm that the project is ready for execution. Before beginning substantial data collection, the learner should have a WBS, logical task sequence, milestones, deliverables, realistic schedule, required resources, key risks, and a method for monitoring progress. The learner should be able to explain not only when each activity occurs but why the sequence and duration are realistic. A useful plan is traceable from objectives to tasks, schedule, resources, risks, and outputs.",
  "metadata": {
    "audience": "Learner",
    "question": "What should be completed in my research project plan?",
    "version": "1.0",
    "topic": "IU04 Learning Check",
    "difficulty": "Beginner",
    "keywords": "IU04 summary, WBS, Gantt chart, research planning checklist",
    "source_file": "IU04_Research_Planning_and_Scheduling_RAG.docx",
    "document_type": "Learning Material",
    "module": "Research Project (CPL)",
    "source": "Official Learning Material",
    "chunk_id": "LM0410",
    "title": "IU04 Learning Check",
    "course_id": "CPL",
    "instructional_unit": "IU04 - Research Planning &amp; Scheduling",
    "intent": "Explain / Guide",
    "section": "IU04 Summary"
  }
}</t>
        </is>
      </c>
      <c r="J16" s="12" t="inlineStr">
        <is>
          <t>{
  "rank": 3,
  "chunk_id": "LM0511",
  "title": "IU05 Learning Check",
  "instructional_unit": "IU05 - Primary &amp; Secondary Research",
  "document_type": "Learning Material",
  "source_file": "IU05_Primary_and_Secondary_Research_RAG.docx",
  "distance": 1.3699045181274414,
  "content": "IU05 Learning Check Confirm that evidence collection is appropriate, ethical, and ready for analysis. At the end of this stage, the learner should have justified primary and secondary research sources, suitable instruments, a sampling approach, ethical and consent arrangements, collected evidence, and documented data-quality considerations. Strengths and limitations of the chosen methods should be understood. The learner should be able to explain why each data source was selected, what limitations it has, and how the evidence contributes to the research objectives. Data collection should be purposeful, ethical, traceable, and aligned with the research question.",
  "metadata": {
    "chunk_id": "LM0511",
    "course_id": "CPL",
    "version": "1.0",
    "source_file": "IU05_Primary_and_Secondary_Research_RAG.docx",
    "intent": "Explain / Guide",
    "source": "Official Learning Material",
    "document_type": "Learning Material",
    "topic": "IU05 Learning Check",
    "audience": "Learner",
    "module": "Research Project (CPL)",
    "instructional_unit": "IU05 - Primary &amp; Secondary Research",
    "difficulty": "Beginner",
    "question": "What should I have completed after primary and secondary research?",
    "title": "IU05 Learning Check",
    "keywords": "IU05 summary, data collection checklist, primary research, secondary research",
    "section": "IU05 Summary"
  }
}</t>
        </is>
      </c>
      <c r="K16" s="12" t="inlineStr">
        <is>
          <t>{
  "rank": 4,
  "chunk_id": "LM0109",
  "title": "Risks and Assumptions",
  "instructional_unit": "IU01 - Project Initiation &amp; Research Topic",
  "document_type": "Learning Material",
  "source_file": "IU01_Project_Initiation_RAG_Learning_Material.docx",
  "distance": 1.3993321657180786,
  "content": "Risks and Assumptions Differentiate project risks from assumptions and document them during initiation. A risk is an uncertain event that could negatively affect the research, such as low survey participation, unavailable data, technical failure, or schedule delay. An assumption is something treated as true for planning purposes but not fully confirmed. Risks should be identified with possible responses, while important assumptions should be recorded and reviewed. Risk: insufficient survey responses. Response: recruit participants early and prepare an alternative interview or secondary-data approach. Assumption: participants will have experience with online fashion retail services. Risks are uncertain threats; assumptions are planning beliefs; both should be explicit rather than hidden.",
  "metadata": {
    "intent": "Explain / Guide",
    "difficulty": "Beginner",
    "module": "Research Project (CPL)",
    "question": "What is the difference between a risk and an assumption?",
    "course_id": "CPL",
    "instructional_unit": "IU01 - Project Initiation &amp; Research Topic",
    "source_file": "IU01_Project_Initiation_RAG_Learning_Material.docx",
    "source": "Official Learning Material",
    "topic": "Risks and Assumptions",
    "audience": "Learner",
    "title": "Risks and Assumptions",
    "section": "Risks and Assumptions",
    "keywords": "project risk, assumptions, risk management, research risk",
    "chunk_id": "LM0109",
    "document_type": "Learning Material",
    "version": "1.0"
  }
}</t>
        </is>
      </c>
      <c r="L16" s="12" t="inlineStr">
        <is>
          <t>{
  "rank": 5,
  "chunk_id": "LM0810",
  "title": "IU08 Final Learning Check",
  "instructional_unit": "IU08 - Reflection &amp; Future Research",
  "document_type": "Learning Material",
  "source_file": "IU08_Reflection_and_Future_Research_RAG.docx",
  "distance": 1.399901032447815,
  "content": "IU08 Final Learning Check Confirm that the learner can critically evaluate the completed research project. At the end of IU08, the learner should be able to evaluate methodology effectiveness, research execution, limitations, alternative approaches, lessons learned, future research, and personal development. Reflection should demonstrate critical judgement and show how the research experience informs better future decisions. The learner should be able to explain not only what happened during the project but how methodological and project decisions affected the quality of the outcomes. Effective reflection closes the research cycle by converting evidence and experience into improvements for future research and practice.",
  "metadata": {
    "instructional_unit": "IU08 - Reflection &amp; Future Research",
    "course_id": "CPL",
    "document_type": "Learning Material",
    "chunk_id": "LM0810",
    "module": "Research Project (CPL)",
    "topic": "IU08 Final Learning Check",
    "difficulty": "Beginner",
    "version": "1.0",
    "intent": "Explain / Guide",
    "source_file": "IU08_Reflection_and_Future_Research_RAG.docx",
    "audience": "Learner",
    "title": "IU08 Final Learning Check",
    "source": "Official Learning Material",
    "question": "What should my final research reflection cover?",
    "section": "IU08 Summary",
    "keywords": "IU08 summary, reflection checklist, future research, lessons learned"
  }
}</t>
        </is>
      </c>
      <c r="M16" s="12" t="inlineStr">
        <is>
          <t>N/A</t>
        </is>
      </c>
      <c r="N16" s="12" t="inlineStr">
        <is>
          <t>N/A</t>
        </is>
      </c>
      <c r="O16" s="12" t="inlineStr">
        <is>
          <t>N/A</t>
        </is>
      </c>
      <c r="P16" s="12" t="inlineStr">
        <is>
          <t>N/A</t>
        </is>
      </c>
      <c r="Q16" s="12" t="inlineStr">
        <is>
          <t>Partial</t>
        </is>
      </c>
      <c r="R16" s="12" t="inlineStr">
        <is>
          <t>Technical Fail</t>
        </is>
      </c>
      <c r="S16" s="12" t="inlineStr">
        <is>
          <t>Technical Failure</t>
        </is>
      </c>
      <c r="T16" s="12" t="inlineStr">
        <is>
          <t>Retrieved context did not establish an exact minimum survey-participant requirement; generation could not be evaluated because of an OpenAI 500 server error.</t>
        </is>
      </c>
    </row>
  </sheetData>
  <conditionalFormatting sqref="M2:M16">
    <cfRule type="expression" priority="1" dxfId="0">
      <formula>M2="Pass"</formula>
    </cfRule>
    <cfRule type="expression" priority="2" dxfId="1">
      <formula>M2="Partial"</formula>
    </cfRule>
    <cfRule type="expression" priority="3" dxfId="2">
      <formula>M2="Fail"</formula>
    </cfRule>
  </conditionalFormatting>
  <conditionalFormatting sqref="N2:N16">
    <cfRule type="expression" priority="4" dxfId="0">
      <formula>N2="Pass"</formula>
    </cfRule>
    <cfRule type="expression" priority="5" dxfId="1">
      <formula>N2="Partial"</formula>
    </cfRule>
    <cfRule type="expression" priority="6" dxfId="2">
      <formula>N2="Fail"</formula>
    </cfRule>
  </conditionalFormatting>
  <conditionalFormatting sqref="O2:O16">
    <cfRule type="expression" priority="7" dxfId="0">
      <formula>O2="Pass"</formula>
    </cfRule>
    <cfRule type="expression" priority="8" dxfId="1">
      <formula>O2="Partial"</formula>
    </cfRule>
    <cfRule type="expression" priority="9" dxfId="2">
      <formula>O2="Fail"</formula>
    </cfRule>
  </conditionalFormatting>
  <conditionalFormatting sqref="P2:P16">
    <cfRule type="expression" priority="10" dxfId="0">
      <formula>P2="Pass"</formula>
    </cfRule>
    <cfRule type="expression" priority="11" dxfId="1">
      <formula>P2="Partial"</formula>
    </cfRule>
    <cfRule type="expression" priority="12" dxfId="2">
      <formula>P2="Fail"</formula>
    </cfRule>
  </conditionalFormatting>
  <conditionalFormatting sqref="Q2:Q16">
    <cfRule type="expression" priority="13" dxfId="0">
      <formula>Q2="Pass"</formula>
    </cfRule>
    <cfRule type="expression" priority="14" dxfId="1">
      <formula>Q2="Partial"</formula>
    </cfRule>
    <cfRule type="expression" priority="15" dxfId="2">
      <formula>Q2="Fail"</formula>
    </cfRule>
  </conditionalFormatting>
  <conditionalFormatting sqref="R2:R16">
    <cfRule type="expression" priority="16" dxfId="0">
      <formula>R2="Pass"</formula>
    </cfRule>
    <cfRule type="expression" priority="17" dxfId="1">
      <formula>R2="Partial"</formula>
    </cfRule>
    <cfRule type="expression" priority="18" dxfId="2">
      <formula>R2="Fail"</formula>
    </cfRule>
  </conditionalFormatting>
  <dataValidations count="7">
    <dataValidation sqref="M2:M16" showDropDown="0" showInputMessage="0" showErrorMessage="0" allowBlank="0" type="list">
      <formula1>"Pass,Partial,Fail,Not Rated"</formula1>
    </dataValidation>
    <dataValidation sqref="N2:N16" showDropDown="0" showInputMessage="0" showErrorMessage="0" allowBlank="0" type="list">
      <formula1>"Pass,Partial,Fail,Not Rated"</formula1>
    </dataValidation>
    <dataValidation sqref="O2:O16" showDropDown="0" showInputMessage="0" showErrorMessage="0" allowBlank="0" type="list">
      <formula1>"Pass,Partial,Fail,Not Rated"</formula1>
    </dataValidation>
    <dataValidation sqref="P2:P16" showDropDown="0" showInputMessage="0" showErrorMessage="0" allowBlank="0" type="list">
      <formula1>"Pass,Partial,Fail,Not Rated"</formula1>
    </dataValidation>
    <dataValidation sqref="Q2:Q16" showDropDown="0" showInputMessage="0" showErrorMessage="0" allowBlank="0" type="list">
      <formula1>"Pass,Partial,Fail,Not Rated"</formula1>
    </dataValidation>
    <dataValidation sqref="R2:R16" showDropDown="0" showInputMessage="0" showErrorMessage="0" allowBlank="0" type="list">
      <formula1>"Pass,Partial,Fail,Not Rated"</formula1>
    </dataValidation>
    <dataValidation sqref="S2:S16" showDropDown="0" showInputMessage="0" showErrorMessage="0" allowBlank="0" type="list">
      <formula1>"None,Retrieval,Prompt/Generation,Grounding/Hallucination,UX/Clarity,Insufficient Course Content,Other"</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28" customWidth="1" min="2" max="2"/>
    <col width="24" customWidth="1" min="3" max="3"/>
    <col width="76" customWidth="1" min="4" max="4"/>
    <col width="16" customWidth="1" min="5" max="5"/>
    <col width="16" customWidth="1" min="6" max="6"/>
  </cols>
  <sheetData>
    <row r="1" ht="22" customHeight="1">
      <c r="A1" s="30" t="inlineStr">
        <is>
          <t>AI Mentor - Baseline Chatbot Testing Summary</t>
        </is>
      </c>
    </row>
    <row r="2" ht="22" customHeight="1">
      <c r="A2" s="12" t="n"/>
      <c r="B2" s="12" t="n"/>
      <c r="C2" s="12" t="n"/>
      <c r="D2" s="12" t="n"/>
      <c r="E2" s="12" t="n"/>
      <c r="F2" s="12" t="n"/>
    </row>
    <row r="3" ht="22" customHeight="1">
      <c r="A3" s="31" t="inlineStr">
        <is>
          <t>Metric</t>
        </is>
      </c>
      <c r="B3" s="31" t="inlineStr">
        <is>
          <t>Value</t>
        </is>
      </c>
      <c r="C3" s="12" t="n"/>
      <c r="D3" s="31" t="inlineStr">
        <is>
          <t>Quality Metric</t>
        </is>
      </c>
      <c r="E3" s="31" t="inlineStr">
        <is>
          <t>Pass Count</t>
        </is>
      </c>
      <c r="F3" s="32" t="inlineStr">
        <is>
          <t>Partial Count</t>
        </is>
      </c>
    </row>
    <row r="4" ht="22" customHeight="1">
      <c r="A4" s="12" t="inlineStr">
        <is>
          <t>Total Test Cases</t>
        </is>
      </c>
      <c r="B4" s="12" t="n">
        <v>15</v>
      </c>
      <c r="C4" s="12" t="n"/>
      <c r="D4" s="12" t="inlineStr">
        <is>
          <t>Correctness</t>
        </is>
      </c>
      <c r="E4" s="12">
        <f>COUNTIF('Baseline Tests'!M2:M16,"Pass")</f>
        <v/>
      </c>
      <c r="F4" s="12">
        <f>COUNTIF('Baseline Tests'!M2:M16,"Partial")</f>
        <v/>
      </c>
    </row>
    <row r="5" ht="22" customHeight="1">
      <c r="A5" s="12" t="inlineStr">
        <is>
          <t>Rated Tests</t>
        </is>
      </c>
      <c r="B5" s="12">
        <f>COUNTIF('Baseline Tests'!R2:R16,"Pass")+COUNTIF('Baseline Tests'!R2:R16,"Partial")+COUNTIF('Baseline Tests'!R2:R16,"Fail")+COUNTIF('Baseline Tests'!R2:R16,"Technical Fail")</f>
        <v/>
      </c>
      <c r="C5" s="12" t="n"/>
      <c r="D5" s="12" t="inlineStr">
        <is>
          <t>Relevance</t>
        </is>
      </c>
      <c r="E5" s="12">
        <f>COUNTIF('Baseline Tests'!N2:N16,"Pass")</f>
        <v/>
      </c>
      <c r="F5" s="12">
        <f>COUNTIF('Baseline Tests'!N2:N16,"Partial")</f>
        <v/>
      </c>
    </row>
    <row r="6" ht="22" customHeight="1">
      <c r="A6" s="12" t="inlineStr">
        <is>
          <t>Overall Passes</t>
        </is>
      </c>
      <c r="B6" s="12">
        <f>COUNTIF('Baseline Tests'!R2:R16,"Pass")</f>
        <v/>
      </c>
      <c r="C6" s="12" t="n"/>
      <c r="D6" s="12" t="inlineStr">
        <is>
          <t>Groundedness</t>
        </is>
      </c>
      <c r="E6" s="12">
        <f>COUNTIF('Baseline Tests'!O2:O16,"Pass")</f>
        <v/>
      </c>
      <c r="F6" s="12">
        <f>COUNTIF('Baseline Tests'!O2:O16,"Partial")</f>
        <v/>
      </c>
    </row>
    <row r="7" ht="22" customHeight="1">
      <c r="A7" s="12" t="inlineStr">
        <is>
          <t>Partial</t>
        </is>
      </c>
      <c r="B7" s="12">
        <f>COUNTIF('Baseline Tests'!R2:R16,"Partial")</f>
        <v/>
      </c>
      <c r="C7" s="12" t="n"/>
      <c r="D7" s="12" t="inlineStr">
        <is>
          <t>Usefulness</t>
        </is>
      </c>
      <c r="E7" s="12">
        <f>COUNTIF('Baseline Tests'!P2:P16,"Pass")</f>
        <v/>
      </c>
      <c r="F7" s="12">
        <f>COUNTIF('Baseline Tests'!P2:P16,"Partial")</f>
        <v/>
      </c>
    </row>
    <row r="8" ht="22" customHeight="1">
      <c r="A8" s="12" t="inlineStr">
        <is>
          <t>Grounding/Content Fail</t>
        </is>
      </c>
      <c r="B8" s="12">
        <f>COUNTIF('Baseline Tests'!R2:R16,"Fail")</f>
        <v/>
      </c>
      <c r="C8" s="12" t="n"/>
      <c r="D8" s="12" t="inlineStr">
        <is>
          <t>Retrieval Quality</t>
        </is>
      </c>
      <c r="E8" s="12">
        <f>COUNTIF('Baseline Tests'!Q2:Q16,"Pass")</f>
        <v/>
      </c>
      <c r="F8" s="12">
        <f>COUNTIF('Baseline Tests'!Q2:Q16,"Partial")</f>
        <v/>
      </c>
    </row>
    <row r="9" ht="22" customHeight="1">
      <c r="A9" s="12" t="inlineStr">
        <is>
          <t>Technical Fail</t>
        </is>
      </c>
      <c r="B9" s="12">
        <f>COUNTIF('Baseline Tests'!R2:R16,"Technical Fail")</f>
        <v/>
      </c>
      <c r="C9" s="12" t="n"/>
      <c r="D9" s="12" t="n"/>
      <c r="E9" s="12" t="n"/>
      <c r="F9" s="12" t="n"/>
    </row>
    <row r="10" ht="22" customHeight="1">
      <c r="A10" s="23" t="inlineStr">
        <is>
          <t>Baseline Summary</t>
        </is>
      </c>
      <c r="B10" s="23" t="inlineStr">
        <is>
          <t>10 Pass, 2 Partial, 1 Grounding/Content Fail, 2 Technical Fail</t>
        </is>
      </c>
      <c r="C10" s="12" t="n"/>
      <c r="D10" s="12" t="n"/>
      <c r="E10" s="12" t="n"/>
      <c r="F10" s="12" t="n"/>
    </row>
    <row r="11" ht="22" customHeight="1">
      <c r="A11" s="12" t="n"/>
      <c r="B11" s="12" t="n"/>
      <c r="C11" s="12" t="n"/>
      <c r="D11" s="12" t="n"/>
      <c r="E11" s="12" t="n"/>
      <c r="F11" s="12" t="n"/>
    </row>
    <row r="12" ht="22" customHeight="1">
      <c r="A12" s="32" t="inlineStr">
        <is>
          <t>Failure / Improvement Category</t>
        </is>
      </c>
      <c r="B12" s="32" t="inlineStr">
        <is>
          <t>Count</t>
        </is>
      </c>
      <c r="C12" s="12" t="n"/>
      <c r="D12" s="32" t="inlineStr">
        <is>
          <t>Identified Improvement Areas</t>
        </is>
      </c>
      <c r="E12" s="12" t="n"/>
      <c r="F12" s="12" t="n"/>
    </row>
    <row r="13" ht="42" customHeight="1">
      <c r="A13" s="12" t="inlineStr">
        <is>
          <t>Technical Failure</t>
        </is>
      </c>
      <c r="B13" s="12">
        <f>COUNTIF('Baseline Tests'!S2:S16,"Technical Failure")</f>
        <v/>
      </c>
      <c r="C13" s="12" t="n"/>
      <c r="D13" s="33" t="inlineStr">
        <is>
          <t>Investigate Top-K and relevance/distance threshold because weak lower-ranked chunks are sometimes included.</t>
        </is>
      </c>
      <c r="E13" s="12" t="n"/>
      <c r="F13" s="12" t="n"/>
    </row>
    <row r="14" ht="42" customHeight="1">
      <c r="A14" s="12" t="inlineStr">
        <is>
          <t>Grounding/Content Fail</t>
        </is>
      </c>
      <c r="B14" s="12">
        <f>COUNTIF('Baseline Tests'!S2:S16,"Grounding/Content Fail")</f>
        <v/>
      </c>
      <c r="C14" s="12" t="n"/>
      <c r="D14" s="33" t="inlineStr">
        <is>
          <t>Improve out-of-scope grounding so the model stops when CPL evidence is insufficient.</t>
        </is>
      </c>
      <c r="E14" s="12" t="n"/>
      <c r="F14" s="12" t="n"/>
    </row>
    <row r="15" ht="42" customHeight="1">
      <c r="A15" t="inlineStr">
        <is>
          <t>Retrieval</t>
        </is>
      </c>
      <c r="B15">
        <f>COUNTIF('Baseline Tests'!S2:S16,"Retrieval")+COUNTIF('Baseline Tests'!S2:S16,"Retrieval / Follow-up")</f>
        <v/>
      </c>
      <c r="D15" s="33" t="inlineStr">
        <is>
          <t>Improve cautious reasoning for uncertain questions such as sample-size sufficiency.</t>
        </is>
      </c>
    </row>
    <row r="16" ht="42" customHeight="1">
      <c r="A16" t="inlineStr">
        <is>
          <t>Cautious Reasoning</t>
        </is>
      </c>
      <c r="B16">
        <f>COUNTIF('Baseline Tests'!S2:S16,"Cautious Reasoning")</f>
        <v/>
      </c>
      <c r="D16" s="33" t="inlineStr">
        <is>
          <t>Improve cross-concept synthesis when several research stages must be connected.</t>
        </is>
      </c>
    </row>
    <row r="17" ht="42" customHeight="1">
      <c r="A17" t="inlineStr">
        <is>
          <t>Cross-Concept Synthesis</t>
        </is>
      </c>
      <c r="B17">
        <f>COUNTIF('Baseline Tests'!S2:S16,"Cross-Concept Synthesis")</f>
        <v/>
      </c>
      <c r="D17" s="33" t="inlineStr">
        <is>
          <t>Improve OpenAI API error handling and user-friendly technical failure messages.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38" customWidth="1" min="2" max="2"/>
    <col width="38" customWidth="1" min="3" max="3"/>
    <col width="38" customWidth="1" min="4" max="4"/>
  </cols>
  <sheetData>
    <row r="1">
      <c r="A1" s="29" t="inlineStr">
        <is>
          <t>How to Use the Baseline Testing Sheet</t>
        </is>
      </c>
      <c r="B1" s="1" t="n"/>
      <c r="C1" s="1" t="n"/>
      <c r="D1" s="1" t="n"/>
    </row>
    <row r="3">
      <c r="A3" s="23" t="inlineStr">
        <is>
          <t>Field</t>
        </is>
      </c>
      <c r="B3" s="23" t="inlineStr">
        <is>
          <t>Pass</t>
        </is>
      </c>
      <c r="C3" s="23" t="inlineStr">
        <is>
          <t>Partial</t>
        </is>
      </c>
      <c r="D3" s="23" t="inlineStr">
        <is>
          <t>Fail</t>
        </is>
      </c>
    </row>
    <row r="4">
      <c r="A4" s="12" t="inlineStr">
        <is>
          <t>Correctness</t>
        </is>
      </c>
      <c r="B4" s="12" t="inlineStr">
        <is>
          <t>Accurate based on CPL material.</t>
        </is>
      </c>
      <c r="C4" s="12" t="inlineStr">
        <is>
          <t>Mostly correct; minor issue/omission.</t>
        </is>
      </c>
      <c r="D4" s="12" t="inlineStr">
        <is>
          <t>Significant factual or interpretive error.</t>
        </is>
      </c>
    </row>
    <row r="5">
      <c r="A5" s="12" t="inlineStr">
        <is>
          <t>Relevance</t>
        </is>
      </c>
      <c r="B5" s="12" t="inlineStr">
        <is>
          <t>Directly answers the question.</t>
        </is>
      </c>
      <c r="C5" s="12" t="inlineStr">
        <is>
          <t>Mostly relevant; some unnecessary content.</t>
        </is>
      </c>
      <c r="D5" s="12" t="inlineStr">
        <is>
          <t>Does not adequately answer the question.</t>
        </is>
      </c>
    </row>
    <row r="6">
      <c r="A6" s="12" t="inlineStr">
        <is>
          <t>Groundedness</t>
        </is>
      </c>
      <c r="B6" s="12" t="inlineStr">
        <is>
          <t>Claims supported by retrieved CPL content.</t>
        </is>
      </c>
      <c r="C6" s="12" t="inlineStr">
        <is>
          <t>Mostly grounded; small unsupported extension.</t>
        </is>
      </c>
      <c r="D6" s="12" t="inlineStr">
        <is>
          <t>Important claims unsupported or invented.</t>
        </is>
      </c>
    </row>
    <row r="7">
      <c r="A7" s="12" t="inlineStr">
        <is>
          <t>Usefulness</t>
        </is>
      </c>
      <c r="B7" s="12" t="inlineStr">
        <is>
          <t>Clear, actionable, learner-appropriate.</t>
        </is>
      </c>
      <c r="C7" s="12" t="inlineStr">
        <is>
          <t>Useful but vague, long, or incomplete.</t>
        </is>
      </c>
      <c r="D7" s="12" t="inlineStr">
        <is>
          <t>Not practically helpful.</t>
        </is>
      </c>
    </row>
    <row r="8">
      <c r="A8" s="12" t="inlineStr">
        <is>
          <t>Retrieval Quality</t>
        </is>
      </c>
      <c r="B8" s="12" t="inlineStr">
        <is>
          <t>Retrieved chunks strongly relevant.</t>
        </is>
      </c>
      <c r="C8" s="12" t="inlineStr">
        <is>
          <t>Mix of relevant and irrelevant chunks.</t>
        </is>
      </c>
      <c r="D8" s="12" t="inlineStr">
        <is>
          <t>Key evidence missing / mostly irrelevant.</t>
        </is>
      </c>
    </row>
    <row r="9">
      <c r="A9" s="12" t="inlineStr">
        <is>
          <t>Overall Result</t>
        </is>
      </c>
      <c r="B9" s="12" t="inlineStr">
        <is>
          <t>All critical dimensions acceptable.</t>
        </is>
      </c>
      <c r="C9" s="12" t="inlineStr">
        <is>
          <t>Usable, but improvement needed.</t>
        </is>
      </c>
      <c r="D9" s="12" t="inlineStr">
        <is>
          <t>Major RAG/LLM failure.</t>
        </is>
      </c>
    </row>
    <row r="10">
      <c r="A10" s="12" t="str"/>
      <c r="B10" s="12" t="str"/>
      <c r="C10" s="12" t="str"/>
      <c r="D10" s="12" t="str"/>
    </row>
    <row r="11">
      <c r="A11" s="12" t="inlineStr">
        <is>
          <t>Workflow</t>
        </is>
      </c>
      <c r="B11" s="12" t="inlineStr">
        <is>
          <t>1. Ask the exact question in the current chatbot.</t>
        </is>
      </c>
      <c r="C11" s="12" t="inlineStr">
        <is>
          <t>2. Paste the full AI response + five displayed sources.</t>
        </is>
      </c>
      <c r="D11" s="12" t="inlineStr">
        <is>
          <t>3. Rate together; do not modify RAG/prompt until baseline is complete.</t>
        </is>
      </c>
    </row>
  </sheetData>
  <mergeCells count="1">
    <mergeCell ref="A1:D1"/>
  </mergeCell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2026-08-10T13:50:27Z</dcterms:created>
  <dcterms:modified xmlns:dcterms="http://purl.org/dc/terms/" xmlns:xsi="http://www.w3.org/2001/XMLSchema-instance" xsi:type="dcterms:W3CDTF">2026-08-10T14:35:57Z</dcterms:modified>
</cp:coreProperties>
</file>